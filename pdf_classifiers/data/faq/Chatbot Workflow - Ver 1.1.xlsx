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ajesh.kumar\Downloads\"/>
    </mc:Choice>
  </mc:AlternateContent>
  <bookViews>
    <workbookView xWindow="0" yWindow="0" windowWidth="23040" windowHeight="8688" firstSheet="2" activeTab="1"/>
  </bookViews>
  <sheets>
    <sheet name="Client Menu Grid" sheetId="13" r:id="rId1"/>
    <sheet name="Main Options" sheetId="12" r:id="rId2"/>
    <sheet name="Sub-Options" sheetId="11" r:id="rId3"/>
    <sheet name="My Salary " sheetId="3" r:id="rId4"/>
    <sheet name="My PF" sheetId="9" r:id="rId5"/>
    <sheet name="My Tax &amp; claim Status" sheetId="6" r:id="rId6"/>
    <sheet name="Personal Data" sheetId="5" r:id="rId7"/>
    <sheet name="My Leave, Attendance" sheetId="7" r:id="rId8"/>
    <sheet name="FAQ" sheetId="10" r:id="rId9"/>
  </sheets>
  <definedNames>
    <definedName name="_xlnm._FilterDatabase" localSheetId="8" hidden="1">FAQ!$B$2:$H$2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73" i="10" l="1"/>
  <c r="A85" i="10"/>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4" i="10"/>
  <c r="A5" i="10"/>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146" i="10" l="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alcChain>
</file>

<file path=xl/sharedStrings.xml><?xml version="1.0" encoding="utf-8"?>
<sst xmlns="http://schemas.openxmlformats.org/spreadsheetml/2006/main" count="1025" uniqueCount="719">
  <si>
    <t>My Pay</t>
  </si>
  <si>
    <t xml:space="preserve">My PF </t>
  </si>
  <si>
    <t>My Personal Data</t>
  </si>
  <si>
    <t>My Leave, Attendance and OT</t>
  </si>
  <si>
    <t>Payslip</t>
  </si>
  <si>
    <t>My Profile</t>
  </si>
  <si>
    <t>Monthly Activity Calendar</t>
  </si>
  <si>
    <t>Leave Balance</t>
  </si>
  <si>
    <t>PF Balance</t>
  </si>
  <si>
    <t>Reimbursement</t>
  </si>
  <si>
    <t>Attendance Details</t>
  </si>
  <si>
    <t>CTC</t>
  </si>
  <si>
    <t>Aadhar No</t>
  </si>
  <si>
    <t>Flexi Plan</t>
  </si>
  <si>
    <t>OT Details (If Any)</t>
  </si>
  <si>
    <t>LOP Details</t>
  </si>
  <si>
    <t>Raise a Query</t>
  </si>
  <si>
    <t>Bank Account No</t>
  </si>
  <si>
    <t>Investment Declaration</t>
  </si>
  <si>
    <t>Salary Arrears</t>
  </si>
  <si>
    <t>PF Code</t>
  </si>
  <si>
    <t>Salary Calculation</t>
  </si>
  <si>
    <t>Tax Simulator</t>
  </si>
  <si>
    <t>Latest Payslip</t>
  </si>
  <si>
    <t>Previous Month Payslip</t>
  </si>
  <si>
    <t>Choose Month &amp; Year</t>
  </si>
  <si>
    <t>Request END</t>
  </si>
  <si>
    <t>API -DATA</t>
  </si>
  <si>
    <t>API to fetch and show only in case of any LOP details</t>
  </si>
  <si>
    <t>To check any LOP Data for the current month</t>
  </si>
  <si>
    <t>Else - Message shall be there is no LOP details available for the month</t>
  </si>
  <si>
    <r>
      <t xml:space="preserve">In case you need any other information, you can continue to </t>
    </r>
    <r>
      <rPr>
        <b/>
        <sz val="11"/>
        <color rgb="FFFF0000"/>
        <rFont val="Calibri"/>
        <family val="2"/>
        <scheme val="minor"/>
      </rPr>
      <t>Chat</t>
    </r>
    <r>
      <rPr>
        <sz val="11"/>
        <color theme="1"/>
        <rFont val="Calibri"/>
        <family val="2"/>
        <scheme val="minor"/>
      </rPr>
      <t xml:space="preserve"> or</t>
    </r>
  </si>
  <si>
    <t>Remarks</t>
  </si>
  <si>
    <t>To display Name, Designation, Date of Birth, Date of Joining, Location, Email Id</t>
  </si>
  <si>
    <t>Display the existing PAN No as per employee master</t>
  </si>
  <si>
    <t>Display the existing Aadhar No as per employee master</t>
  </si>
  <si>
    <t>Display the Bank Account No as per employee master</t>
  </si>
  <si>
    <t>Display existing UAN No as per employee master</t>
  </si>
  <si>
    <t>Display existing PF code as per employee master</t>
  </si>
  <si>
    <t>BACK</t>
  </si>
  <si>
    <t>Reimbursement Approval Status</t>
  </si>
  <si>
    <t>Reimbursement Balance</t>
  </si>
  <si>
    <t>Reimbursement Guidelines</t>
  </si>
  <si>
    <t>API Data</t>
  </si>
  <si>
    <t>Reimbursment Claim Navigation</t>
  </si>
  <si>
    <t>Standard Response to be shared by the BOT alongwith the navigation link</t>
  </si>
  <si>
    <t>FBP Eligibility</t>
  </si>
  <si>
    <t>FBP Balance</t>
  </si>
  <si>
    <t>Special Allowance Amount (Balancing Figure)</t>
  </si>
  <si>
    <t>FBP Plan Navigation</t>
  </si>
  <si>
    <t>Navigation to Investment Declaration</t>
  </si>
  <si>
    <t>Income Tax Computation Sheet</t>
  </si>
  <si>
    <t>Standard Response alongwith the Navigation Link</t>
  </si>
  <si>
    <t xml:space="preserve">To fetch Leave Balances of each leave type </t>
  </si>
  <si>
    <t>Request End</t>
  </si>
  <si>
    <t>To fetch attendance details for the month</t>
  </si>
  <si>
    <t>To fetch OT Hours/Details for the month</t>
  </si>
  <si>
    <t>Employee to Click the below option</t>
  </si>
  <si>
    <t>Standard Response on how the salary gets calculated alongwith the Navigation Link to download Payslip</t>
  </si>
  <si>
    <t>LTA Rules</t>
  </si>
  <si>
    <t>LTA Exemption</t>
  </si>
  <si>
    <t>Gratuity Calculation</t>
  </si>
  <si>
    <t>Activity Calendar includes Cut-Off dates for Investment Declaration/Reimbursement/FBP Plan</t>
  </si>
  <si>
    <t>Withdrawal Status</t>
  </si>
  <si>
    <t>Income Tax</t>
  </si>
  <si>
    <t>Know your Tax Calculation</t>
  </si>
  <si>
    <t>API Data (Fetch the information and share it)</t>
  </si>
  <si>
    <t>Know the Tax Saving Options?</t>
  </si>
  <si>
    <t>KYC Details</t>
  </si>
  <si>
    <t>My Tax and Claim Status</t>
  </si>
  <si>
    <t>FAQ</t>
  </si>
  <si>
    <t>PAN</t>
  </si>
  <si>
    <t>UAN</t>
  </si>
  <si>
    <t xml:space="preserve">For Married members can nominate the following:
• Male Members: Wife, Children, dependent parents &amp; his deceased son’s widow &amp; children
• Female Members: Husband, Children, dependent parents, her husband’s dependent parents &amp; her deceased son’s widow &amp; children
For Unmarried members or members with no family can nominate any person (s) or institution related to him or not. On subsequently acquiring a family, such member should make fresh nomination in favor of one or more persons belonging to his family. Any fresh nomination would super cede over the earlier nomination provided by the member.
</t>
  </si>
  <si>
    <t>Whom can I nominate as my nominee?</t>
  </si>
  <si>
    <t>Nominee Members</t>
  </si>
  <si>
    <r>
      <t>Every member has to give the details of himself &amp; details of the nominee for Employees' Provident Fund &amp; Employees' Deposit Linked Insurance Schemes and details of family for Employees’ Pension Scheme, 1995 in</t>
    </r>
    <r>
      <rPr>
        <b/>
        <sz val="10"/>
        <color theme="1"/>
        <rFont val="Calibri"/>
        <family val="2"/>
        <scheme val="minor"/>
      </rPr>
      <t xml:space="preserve"> form no. 2.</t>
    </r>
    <r>
      <rPr>
        <sz val="10"/>
        <color theme="1"/>
        <rFont val="Calibri"/>
        <family val="2"/>
        <scheme val="minor"/>
      </rPr>
      <t xml:space="preserve">
A member if, is having a family can nominate any one or more persons to receive the Provident Fund on his death. In case of him having no family he can nominate any other person.
For the purpose of Employees’ Pension Scheme, 1995 the member has to furnish the details, such as name, relationship &amp; age of all the family members in the form no. 2. Whenever member wants to make a change in the nomination already made for Provident Fund, or to update the details of family for Employees’ Pension Scheme, 1995, he has to send a revised form no. 2. The form no.2 is routed through the employer.
</t>
    </r>
  </si>
  <si>
    <t>What is nomination?</t>
  </si>
  <si>
    <t>About Nomination</t>
  </si>
  <si>
    <t>Nomination</t>
  </si>
  <si>
    <t>The approval status will be shown against the uploaded KYC document on the same page.</t>
  </si>
  <si>
    <t>How do I know that the KYC uploaded by me has been approved by the employer?</t>
  </si>
  <si>
    <t>KYC Document Approval Status</t>
  </si>
  <si>
    <t>A. Following documents can be used for KYC:-
1. National Population Register (NPR)
2. AADHAAR
3. Permanent Account Number (PAN)
4. Bank Account Number
5. Passport
6. Driving License
7. Election Card
8. Ration Card
9. ESIC Card (Being introduced shortly)
B. However Bank Account number along with IFSC is compulsory and Aadhaar or PAN are necessary wherever issued to a member.
C. IFSC is to be given only against Bank Account number and not against any other type of KYC.</t>
  </si>
  <si>
    <t>Which documents are considered for KYC?</t>
  </si>
  <si>
    <t>Documents required for KYC</t>
  </si>
  <si>
    <t>Yes, it can be done by going to the ‘Profile’ menu and selecting ‘Update KYC Information’ in the UAN Member Portal. The uploaded KYC document by the member has to be digitally approved by the employer. Till then, status of KYC will be shown as ‘Pending’.</t>
  </si>
  <si>
    <t>Can I update/upload my KYC document through the UAN member portal?</t>
  </si>
  <si>
    <t>KYC Document Upload Process</t>
  </si>
  <si>
    <t>KYC</t>
  </si>
  <si>
    <t>You can refer your previous organization pay slip for the previous PF number.                                     Pension Account number can be collected from 1) If previous employer is Trust: There will be separate PF number and Pension number. This would be available in the payslip. 2) If previous employer doesn’t have a trust: PF Number and Pension number remains the same. PF number can be updated here. This would be available in the payslip.</t>
  </si>
  <si>
    <t>Where do I get my previous PF number and pension account from?</t>
  </si>
  <si>
    <t xml:space="preserve">Below are the mandatory details
• Employee name
• Whether earlier member of Employees’ Provident Fund
• Whether earlier member of Employees’ Pension Scheme
• UAN/Previous PF member id
• Date of exit for previous member
• Employee signature (On the hard copy of the Form 11)
</t>
  </si>
  <si>
    <t>What is the mandatory information required on Form 11?</t>
  </si>
  <si>
    <t xml:space="preserve">Form 11 is a declaration by a person taking up employment in an establishment on which Employees’ Provident Fund Scheme, 1952 and/or Employees’ Pension Scheme, 1995 act is applicable. Employee will provide his previous employment details which will help in the creation of new UAN (Universal Account Number) and to update your previous employment details with the current establishment.
</t>
  </si>
  <si>
    <t>What is Form 11 and what is the importance of Form 11?</t>
  </si>
  <si>
    <t>Importance - Form 11</t>
  </si>
  <si>
    <t>Form 11</t>
  </si>
  <si>
    <t xml:space="preserve">The UAN driven Member Portal presently facilitates the following to members:-
• Download Passbook
• Download UAN Card
• List Previous Member IDs
• Enter KYC Details
• Check eligibility for online transfer claim
• Edit personal details
</t>
  </si>
  <si>
    <t xml:space="preserve">What are the facilities given to members through UAN driven member portal? </t>
  </si>
  <si>
    <t>UAN Features</t>
  </si>
  <si>
    <t xml:space="preserve">Kindly submit the personal details correction request in UAN portal by selecting Manage tab and select the Modify basic details option to submit the request. 
Post submission of the correction request in uan account, kindly approach your employer for approval. 
</t>
  </si>
  <si>
    <t>How to correct the name / DOB / Gender details in uan account</t>
  </si>
  <si>
    <t>Modification of Personal Data in UAN</t>
  </si>
  <si>
    <t>Yes, surely. You need to login first with your valid UAN and password. Then go to ‘Download’ Menu and select an option ‘Download UAN Card’. PDF of UAN card can be downloaded by selecting a link given for this particular task and accordingly, you can take a printout.</t>
  </si>
  <si>
    <t>Can I view/download my UAN card?</t>
  </si>
  <si>
    <t>View/Download UAN Card</t>
  </si>
  <si>
    <t>Members can activate their UAN by visiting the UAN based Member Portal website i.e. https://unifiedportal-mem.epfindia.gov.in/memberinterface/. Member should have UAN, Mobile and Member ID readily available to activate his/her UAN on the UAN Member Portal. Once activated member can login to the UAN Member Portal by using his UAN as his user id and password created by him.</t>
  </si>
  <si>
    <t>How do I active my UAN?</t>
  </si>
  <si>
    <t>UAN Activation Process</t>
  </si>
  <si>
    <t xml:space="preserve">UAN stands for Universal Account Number to be allotted by EPFO. The UAN will act as an umbrella for the multiple Member Ids allotted to an individual by different establishments.
If a member is already allotted Universal Account Number (UAN) then he/she is required to provide the same on joining new establishment to enable the employer to in-turn mark the new allotted Member Identification Number (Member Id/PF number) to the already allotted Universal Identification Number (UAN).
</t>
  </si>
  <si>
    <t xml:space="preserve">What is UAN? </t>
  </si>
  <si>
    <t>About UAN</t>
  </si>
  <si>
    <t xml:space="preserve">Kindly use the below URl to check the claim status.
URL : https://passbook.epfindia.gov.in/MemClaimStatusUAN/
</t>
  </si>
  <si>
    <t>Where employee need to check online transfer status?</t>
  </si>
  <si>
    <t>Transfer Status</t>
  </si>
  <si>
    <t xml:space="preserve">After approval of your transfer claim by both present and previous employer, it usually takes  1 to 2 months to the amount to be credited to new PF account by the PF department.
</t>
  </si>
  <si>
    <t>How time will take to transfer the pf from previous to current pf number</t>
  </si>
  <si>
    <t>Timelines for transfer</t>
  </si>
  <si>
    <t xml:space="preserve">Kindly initiate the online transfer request in UAN portal for pension account and take a printout on the online generated form 13 documents and submit the singed hard copy to employer for processing. 
URL: https://unifiedportal-mem.epfindia.gov.in/memberinterface/
Post receipt of the documents by current employer, the same will be attested and along with covering letter will send to previous employer for further action. 
</t>
  </si>
  <si>
    <t>My previous employer PF amount is maintained by PF trust kindly share the PF transfer procedure?</t>
  </si>
  <si>
    <t>Trust to RPFC</t>
  </si>
  <si>
    <t>As per notification from PF office they are not accepting the hard copies of PF withdrawal / PF transfer / partial withdrawal forms of those employees who are having the UAN. Kindly login to below URL and initiate online transfer request. URL : https://unifiedportal-mem.epfindia.gov.in/memberinterface/</t>
  </si>
  <si>
    <t>How to initiate PF transfer request from previous employer to current employer?</t>
  </si>
  <si>
    <t>Previous Employer to Current Employer</t>
  </si>
  <si>
    <t>Transfer Process</t>
  </si>
  <si>
    <t>PF Transfer</t>
  </si>
  <si>
    <t xml:space="preserve">A minimum period of ten years of continue contributory service is required to be eligible to receive monthly Pension. </t>
  </si>
  <si>
    <t>What is the eligibility to receive Pension under Pension Scheme</t>
  </si>
  <si>
    <t>Pension Eligibility</t>
  </si>
  <si>
    <t>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t>
  </si>
  <si>
    <t>What is the clauses to withdraw Pension?</t>
  </si>
  <si>
    <t>Pension Withdrawal Clause</t>
  </si>
  <si>
    <t>As per PF rules, out of Employer contribution 8.33% of your basic salary (with a sealing up to Rs.15000/- of the basic salary) goes to your Pension Account.</t>
  </si>
  <si>
    <t>How much pension amount will deducted from my salary?</t>
  </si>
  <si>
    <t>Pension Contribution</t>
  </si>
  <si>
    <t xml:space="preserve">If an employee opt for PF settlement post completion of 9.6 years of service, then the PF department issue a Pension scheme certificate after processing the Form10C. In this situation employee has to fill the form 10C documents manually and submit the signed hard copy along with Nominee id proof documents to employer for submission.  
If an employee submits the Form 10C along with supporting documents, the PF department will issue the scheme certificate to the employee. 
Post completion of 58years, Pension amount will be paid to the employee on monthly basis by the PF department. 
Required ID proof documents - 
1. We require your Age proof and address proof (Copy of Passport, PAN Card, Birth certificate.) 
2. Family/Spouse ID proof. ( IF not married require Parents ID proof) 
3. Copy of Child/Children birth certificates. 
</t>
  </si>
  <si>
    <t>What is pension scheme certificate number and how do I get my Pension scheme certificate ?</t>
  </si>
  <si>
    <t>Scheme Certificate</t>
  </si>
  <si>
    <t xml:space="preserve">PF Pension </t>
  </si>
  <si>
    <t xml:space="preserve">The minimum eligibility condition is 5 years continues PF membership for PF Partial Withdrawal/PF Loan. However can initiate PF withdrawal any time with the condition of Medical emergency. 
To check the eligibility: Kindly login to UAN portal and click on Online service tab and select the form 31 option. 
URL : https://unifiedportal-mem.epfindia.gov.in/memberinterface/
</t>
  </si>
  <si>
    <t>what is the eligibility for partial withdrawal/pf loan?</t>
  </si>
  <si>
    <t>PF Loan</t>
  </si>
  <si>
    <t xml:space="preserve">Yes. PF rules for TDS deduction at the time of PF Withdrawal
If EPF Withdrawal is &lt; Rs.50000/- then – No TDS deducted
If EPF Withdrawal is &gt;= Rs.50000/- then below are conditions –
Condition 1 – If PF withdrawal is after 5 years of service – No TDS deducted
Condition 2 – If PF withdrawal is before 5 years of service – below are the conditions
If PAN copy &amp; Form 15G/Form 15H are submitted - No TDS deducted
If only Pan Copy submitted and Form 15G/Form 15H is not submitted – TDS deducted @ 10%
If Pan Copy and Form 15G/Form 15H are not submitted – TDS deducted @ 34.608%
</t>
  </si>
  <si>
    <t>Is tax is deducted at time of PF withdrawal? If yes, How much?</t>
  </si>
  <si>
    <t>Tax on PF Withdrawal</t>
  </si>
  <si>
    <t xml:space="preserve">You can check your PF withdrawal claim status by login to below mentioned URL
• visit http://www.epfindia.com/
• Select “For employees” under “Our services”
• Click on “Know Your Claims Status” button
• Enter your UAN and Click on Search
</t>
  </si>
  <si>
    <t>Where can I check my PF withdrawal claim status?</t>
  </si>
  <si>
    <t xml:space="preserve">You need to initiate online  claim for Form 19, Form 10 C,  Please login to https://unifiedportal-emp.epfindia.gov.in/epfo/  and initiate claim accordingly.
For Compete PF and Pension amount withdrawal employee has to submit the Form 19 and 10C request in UAN portal. Kindly login to below website and  initiate the online request. 
</t>
  </si>
  <si>
    <t xml:space="preserve">What are the forms you to submit for PF withdrawal? </t>
  </si>
  <si>
    <t>Forms Required for Withdrawal</t>
  </si>
  <si>
    <r>
      <t xml:space="preserve">To withdraw provident fund there should be a minimum tenure of 2 months of non-employment before applying for withdrawal. As per Employees' Provident Fund Scheme 1952 - Para 69, for withdrawing Provident fund there is minimum 2 months (60 days) waiting period from date of leaving. Post completing the 60 days from last working day, your DOL / DOE will be updated in uan portal and after that you can initiate the online withdrawal request through UAN login. 
</t>
    </r>
    <r>
      <rPr>
        <b/>
        <sz val="10"/>
        <color theme="1"/>
        <rFont val="Calibri"/>
        <family val="2"/>
        <scheme val="minor"/>
      </rPr>
      <t xml:space="preserve">URL : https://unifiedportal-mem.epfindia.gov.in/memberinterface/ </t>
    </r>
    <r>
      <rPr>
        <sz val="10"/>
        <color theme="1"/>
        <rFont val="Calibri"/>
        <family val="2"/>
        <scheme val="minor"/>
      </rPr>
      <t xml:space="preserve">                                                                          If the above criterion is not adhered to than PF needs to be transferred. However if you have joined any other organization, you can apply for transfer from previous PF account  to your new employer.  </t>
    </r>
  </si>
  <si>
    <t>When can I apply for PF withdraw after Resignation?</t>
  </si>
  <si>
    <t>Guidelines for Withdrawal</t>
  </si>
  <si>
    <t>PF Withdrawal</t>
  </si>
  <si>
    <t>API DATA</t>
  </si>
  <si>
    <t>PF Slips</t>
  </si>
  <si>
    <t>You have to give a missed call to 011 2290 1406. Within few minutes, you would receive an SMS. This service is totally free of cost.                                                                                                                                 To know the EPF balance through SMS, you have to send an SMS. The SMS is sent in the given format to the specified number.
Format of SMS to check EPF Balance is – EPFOHO UAN ENG
Number to receive SMS of EPF balance – 7738 299 899</t>
  </si>
  <si>
    <t>How can I check my pf balance by using EPF Missed call service? Or Through SMS</t>
  </si>
  <si>
    <t>PF Balance - SMS/Missed Call</t>
  </si>
  <si>
    <t>The contribution of the employee towards the EPF is 12% of the basic salary while the employer contributes 3.67% towards EPF, 8.33% towards the Employee’s Pension Scheme.</t>
  </si>
  <si>
    <t>What is the EPF Contribution break up</t>
  </si>
  <si>
    <t>PF contribution Details</t>
  </si>
  <si>
    <t xml:space="preserve">kindly login to below URL with UAN Login creditianls and check on the respective member id / PF number to download the member passbok. 
URL : https://passbook.epfindia.gov.in/MemberPassBook/Login.jsp
</t>
  </si>
  <si>
    <t>How to download my EPF passbook?</t>
  </si>
  <si>
    <t>EPF Passbook</t>
  </si>
  <si>
    <t>Every month, both employee and employer contribute a certain percentage of amount towards the Provident Fund. The Fund (controlled by the government) then invests the money in various securities at a guaranteed rate of return (currently 8.65% annually). Upon retirement or withdrawal, the employee then obtains access to these funds.</t>
  </si>
  <si>
    <t>What is Provident Fund?</t>
  </si>
  <si>
    <t>About PF</t>
  </si>
  <si>
    <t>Employee can check the UAN number from the pay slip. The same can also be checked by login to https://unifiedportal-mem.epfindia.gov.in/memberinterface/ -  Know your UAN status</t>
  </si>
  <si>
    <t>Where can I check my UAN number?</t>
  </si>
  <si>
    <t>No, there is no need to obtain UAN again. It is a one-time permanent number and will remain same throughout your career.</t>
  </si>
  <si>
    <t>In case of changes of job, do I have to get UAN again and then active my account?</t>
  </si>
  <si>
    <t>You need to simply declare your UAN to your subsequent employers in Form-11 (Declaration Form).</t>
  </si>
  <si>
    <t>What is to be done in case I change the job and join somewhere else?</t>
  </si>
  <si>
    <t xml:space="preserve">No. Scanned id prof documents are not required to upload the same in UAn portal. Because uan profile was already linked with respected Identity portal for validate the employee data/ </t>
  </si>
  <si>
    <t>Do I have to upload the scanned copy of the KYC document?</t>
  </si>
  <si>
    <t>Yes, you need to go to Profile Menu in the UAN Member Portal and select an option ‘Edit Mobile No.’/ ‘Edit Email ID’ for changing mobile number and Email ID respectively.</t>
  </si>
  <si>
    <t>Can my mobile number/E mail ID be changed?</t>
  </si>
  <si>
    <t>Universal Account Number (UAN)</t>
  </si>
  <si>
    <t xml:space="preserve">Members need to visit the UAN based Member Portal website i.e.https://unifiedportal-mem.epfindia.gov.in/memberinterface/
initially, member will have to activate his UAN by selecting a link given ‘Activate your UAN’ on the UAN Member Portal. Member should have UAN, Mobile and Member ID readily available to activate his/her UAN on the UAN Member Portal.
</t>
  </si>
  <si>
    <t>How can I access my details through portal?</t>
  </si>
  <si>
    <t xml:space="preserve">Kindly approach your current employer for UAN account number </t>
  </si>
  <si>
    <t>What happen if I do not have a UAN number?</t>
  </si>
  <si>
    <t>Full range of Medical, surgical &amp;obstetric treatment consisting of out-door treatment, inpatient treatment, supply of all drugs and dressings, pathological and radiological investigations, pre-natal and post-natal care, super specialty consultation &amp; treatment, ambulance services, provision of artificial appliances etc.</t>
  </si>
  <si>
    <t>What is the scale of Medical
Benefit?</t>
  </si>
  <si>
    <t>Benefit</t>
  </si>
  <si>
    <t>ESIC</t>
  </si>
  <si>
    <t>Medical benefit means the medical attendance and treatment to the insured persons covered under the Act and their families as and when needed. This is the only benefit provided in kind through the State Governments (except in Delhi), and uniform to all as per their requirement without linking it to their wages and contributions.</t>
  </si>
  <si>
    <t>What is Medical Benefit?</t>
  </si>
  <si>
    <t>The financial year from April to March has been divided in to two six monthly contribution periods. i.e. 1st April to 30th September and 1st October to 31st March of next year. The benefit period for each contribution period commences three months after the end of the relevant contribution period .i.e. Jan to June and July to December (The calendar year from January to December has been divided in to two six monthly benefit periods).</t>
  </si>
  <si>
    <t>contribution periods and benefit periods</t>
  </si>
  <si>
    <t xml:space="preserve">Contribution </t>
  </si>
  <si>
    <t xml:space="preserve">For transferring the ESI contributions from previous company, you need to share the previous company ESI IP number with current company while joining. If fail to do so, then you need to submit contribution transfer letter to your local ESI office with current company attestation. </t>
  </si>
  <si>
    <t>Transfer of ESI contributions</t>
  </si>
  <si>
    <t>ESI</t>
  </si>
  <si>
    <t>You can contact Employer for correcting the details in  E-pehchan card.</t>
  </si>
  <si>
    <t>Correction in  E-pehchan card</t>
  </si>
  <si>
    <t>Pehchan Card</t>
  </si>
  <si>
    <t>ESI cycle is from April to September and, October to March;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</si>
  <si>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 xml:space="preserve">ESI cycle </t>
  </si>
  <si>
    <t>Please note that, as per the Aadhar based authentication in ESI, if the Aadhar details are already updated in the E-pehchan card, then its validity will not get expired. You can use the E-pehchan card for getting benefits from ESI hospitals/Dispensaries. The identity card serves as a means of identification both for availing medical benefit at the dispensary/hospital and availing cash benefits at the ESI branch Office.</t>
  </si>
  <si>
    <t xml:space="preserve">E-pehchan card validity </t>
  </si>
  <si>
    <t xml:space="preserve">Please note that the Aadhaar details needs to be verified from your end. Kindly login to ESIC employee login portal with your IP number and click on "Update Aadhaar Number" &gt;&gt;  then "verify with OTP" to verify your Aadhar details.
URL : http://www.esic.in/employeeportal/login.aspx
</t>
  </si>
  <si>
    <t>ESI Aadhaar Verification</t>
  </si>
  <si>
    <t xml:space="preserve">Aadhaar </t>
  </si>
  <si>
    <t xml:space="preserve">If you are eligible for ESI, then company will issue your ESI E-pehchan card. You can use the E-pehchan card with company attestation for medical benefits from ESI hospitals/Dispensaries. For claim process, request you to kindly contact with your nearest ESI dispensary for better assistance.
</t>
  </si>
  <si>
    <t>How to claim ESI ?</t>
  </si>
  <si>
    <t>Kindly be informed that, an employee whose gross earning is less than 21000/- per month is eligible for ESI and the contribution is mandatory. 
Also note that ESI cycle from April to September and, October to March; and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</si>
  <si>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How to stop the ESI deduction?</t>
  </si>
  <si>
    <t>Kindly be informed that an employee whose gross earning is less than 21000/- per month is eligible for ESI. As per policy ESI deduction is 1.75% of the employee salary and 4.75% is employer contribution. Please note that ESI amount reflecting in your monthly Pay slip is contribution done by you &amp; company contribution is reflected in your CTC &amp; it is not reflecting in your Pay slip. Employee contribution of ESI = 1.75% of Gross salary</t>
  </si>
  <si>
    <t>How the ESI amount will calculated</t>
  </si>
  <si>
    <t xml:space="preserve">Kindly be informed that as per the amendment in the Employees’ State Insurance (Central) Rules, 1950, effective January 1, 2017,  the monthly salary limit for coverage of  employees under Employees State Insurance Scheme (ESI scheme) has been increased  up to INR 21000/-. Hence an employee whose gross earning is less than 21000/- per month is eligible for ESI and the contribution is mandatory. As per policy ESI deduction is 1.75% of the employee salary and 4.75% is employer contribution. </t>
  </si>
  <si>
    <t>ESI Eligibility</t>
  </si>
  <si>
    <t xml:space="preserve">The Employees’ State Insurance Scheme is designed to accomplish the task of protecting ‘employees’ against the hazards of sickness, maternity, disablement and death due to employment injury and to provide medical care to insured persons and their families. 
Please note that, you will not get the deducted amount at the time of separation from the company, however, you and your family members will get the benefits - Medical Benefit, Sickness Benefit, Maternity Benefit, Disablement Benefit, Dependants' Benefit etc.
As per Employees’ State Insurance Act, the insured person and their family members will get the benefits - Medical Benefit, Sickness Benefit, Maternity Benefit, Disablement Benefit, Dependants' Benefit etc.
For more details please check the ESIC website with below link. 
http://esic.nic.in/index.php
</t>
  </si>
  <si>
    <t>What is ESIC</t>
  </si>
  <si>
    <t xml:space="preserve">Kindly be informed that Pension amount is scheme amount, this details will not be updated in PF slips / contribution details. As per PF department policy, once the EPS is received from the previous employer to current PF account the same will be updated as DOM. Hence based on previous employer contribution, DOM (Date of membership) will updated in current PF account accordingly.
You can also raise a grievance (With current employer PF account) to know the status of your EPS and EPF transfer from the PF department. Please raise a grievance at -
http://epfigms.gov.in/
a. Register grievance
b. Select the appropriate (PF Member /Employer)
c. Enter the state code &gt;&gt; Office code
d. Enter Establishment code &gt;&gt; Extension (can be blank if there is no Extension)
e. Enter your account number. 
</t>
  </si>
  <si>
    <t xml:space="preserve">My pension transfer-in amount details updated as a Zero / not updated </t>
  </si>
  <si>
    <t>Transfer</t>
  </si>
  <si>
    <t>PF transfer :</t>
  </si>
  <si>
    <t>Employee</t>
  </si>
  <si>
    <t xml:space="preserve">Kindly take printout of the online generated form 13 documents and submit the singed hard copy to respected employer for approval. </t>
  </si>
  <si>
    <t>What is the further action required after submission of the online transfer.</t>
  </si>
  <si>
    <t xml:space="preserve">Kindly register the grievance in PF website to know the PF transfer status.  
URL : https://epfigms.gov.in/homepage.aspx
</t>
  </si>
  <si>
    <t>Pf transfer was completed successfully from previous company but details not reflecting in current company claim status.</t>
  </si>
  <si>
    <t>PF transfer-in entry will be updated in member passbook with in 1-2 weeks after completion of transfer.</t>
  </si>
  <si>
    <t>When the transfer in amount details will reflect in E passbook?</t>
  </si>
  <si>
    <t xml:space="preserve">Please note that its mandatory employee has to pre check the below details, before initiating the online transfer request in uan portal. 
1. Previous PF number should have the DOL / DOE details in UAn records. If this details not updated in uan account, than please approach your previous employer for action. 
2. Aaadhar number should be linked with previous PF account / UAN account.
3. If previous pf account is a trust than mandatory employee has to use the Pension number / EPS member id for initiating the online transfer. 
4. If employee having multiple UAN number, than kindly use the current employer UAN account for initiate the online transfer request.  
5. All personal details should be match with previous and current pf records. 
</t>
  </si>
  <si>
    <t>Getting error while initiating online transfer request?</t>
  </si>
  <si>
    <t xml:space="preserve">My PF claim form 10C was rejected saying need to submit the family details </t>
  </si>
  <si>
    <t>PF Claim</t>
  </si>
  <si>
    <t xml:space="preserve">You can also raise Grievance. Below are the steps to raise a Grievance against PF office. Login to http://www.epfindia.gov.in/. You need to click on EPFiGMS(Register your Grievance) from FOR EMPLOYEES Box. Click on REGISTER GRIEVANCE.
</t>
  </si>
  <si>
    <t>How to raise Grievance?</t>
  </si>
  <si>
    <t>Complaint/Grievance</t>
  </si>
  <si>
    <t xml:space="preserve">If UAN number is not generated for employee’s PF account, along with hard copy Form 19 and Form 10C, you need to submit Cancelled Cheque leaf (only 1); Copy of Pan Card and Form 15G (if applicable) to employer for further action. 
If UAN number is available, you need to initiate online withdrawal claim.
If KYC details (aadhar,pan and bank detail) are updated in UAN portal  then you can initiate online claim accordingly.
</t>
  </si>
  <si>
    <t>What are the other documents I need to submit for withdrwal along with Form 19 and Form 10C?</t>
  </si>
  <si>
    <t>Withdraw</t>
  </si>
  <si>
    <t>To withdraw provident fund there should be a minimum tenure of 2 months of non-employment before applying for withdrawal. If the above criterion is not adhered to than PF needs to be transferred. However if you have joined any other organization, you can apply for transfer from previous PF account  to your new employer.</t>
  </si>
  <si>
    <t>I want to withdraw my PF completely. Can I withdraw the same now?</t>
  </si>
  <si>
    <t xml:space="preserve">Yes KYC details are mandatory for the completion of Form 11 activity, hence kindly submit the KYC documents along with form 11 copy for mapping. </t>
  </si>
  <si>
    <t>Do I need to fill KYC details and these details are mandatory in the Form 11?</t>
  </si>
  <si>
    <t>Pension Payment Order is the number which will be received when an employee apply for reduced pension (at the time of attaining 50 years)/pension (at the time of attaining 58 years) by submitting Form 10D. This number is used for claiming the pension amount.</t>
  </si>
  <si>
    <t>What is Pension Payment Order(PPO) and where do I get my Pension Payment Order number?</t>
  </si>
  <si>
    <t>Pension</t>
  </si>
  <si>
    <t>If the previous employer is a trust, employee has to update the PF number ‘NO” and EPS number ‘YES’ in Form 11.</t>
  </si>
  <si>
    <t>My previous employer is a trust and I have different PF and EPS number. Which number should be filled in Form 11?</t>
  </si>
  <si>
    <t>Yes. It is mandatory to fill Form 11 by all the employees at the time of joining. New UAN will be allotted based on this declaration.</t>
  </si>
  <si>
    <t>Do I need to fill Form 11, if I am joining and establishment for the first time?</t>
  </si>
  <si>
    <t>Pension Account number can be collected from 1) If previous employer is Trust: There will be separate PF number and Pension number. This would be available in the payslip. 2) If previous employer doesn’t have a trust: PF Number and Pension number remains the same. PF number can be updated here. This would be available in the payslip.</t>
  </si>
  <si>
    <t>Where do I get my pension account number?</t>
  </si>
  <si>
    <t>Pension Account</t>
  </si>
  <si>
    <t>You can refer your previous organization pay slip for the previous PF number.</t>
  </si>
  <si>
    <t>Where do I get my previous PF number from?</t>
  </si>
  <si>
    <t>PF Number</t>
  </si>
  <si>
    <t>Once the previous employment details are submitted, employee will be able to view his PF contribution details under the UAN created by previous employer. If the employee is a fresher/not having any previous PF /UAN, new UAN will be created based on the declaration form and this will reflect in the payslip. This is a confirmation that the form 11 details are submitted with the concerned authority.</t>
  </si>
  <si>
    <t>How do I know that my Form 11 has been submitted with the concerned authority?</t>
  </si>
  <si>
    <t xml:space="preserve">Yes. Duly signed hard copy of Form 11 along with Aadhar card has to be send to employer address for mapping. </t>
  </si>
  <si>
    <t>Do I need to submit the hard copy of Form 11? If yes, whom do I send the hard copy?</t>
  </si>
  <si>
    <t xml:space="preserve">If the employee has not filled Form 11, previous employment details of such employee cannot be mapped with the current establishment. Employee will not be able to view the contributions under UAN (Universal Account Number) account.
</t>
  </si>
  <si>
    <t>What happen if I do not fill Form 11?</t>
  </si>
  <si>
    <t>Employee is supposed to fill Form 11 at the time of joining.</t>
  </si>
  <si>
    <t>When am I supposed to fill Form 11?</t>
  </si>
  <si>
    <t>Please be informed that once employee is resigned and joined the new organization then he will be allotted with the new PF account number as per the rules of PF department. Hence he will not be eligible to carry forward the same PF account number which was allotted in the previous employment. However employee can transfer the PF amount from previous employer PF account to current employer PF account.</t>
  </si>
  <si>
    <t xml:space="preserve">Can I Carry forward old PF NUMBER? </t>
  </si>
  <si>
    <t xml:space="preserve">Kindly contact your employer to know the process to update Nomination. </t>
  </si>
  <si>
    <t>I am a new joiner where I need to update my Nomination details?</t>
  </si>
  <si>
    <t>While becoming a member of Provident Fund, you need to file Nomination in Form No.2 declaring the details of your dependents wishing to nominate in case of any causality. Here you can fill up your family members' name &amp; prescribe percentage each one is entitled to in case anything happens to you. This is to be signed by you, authenticated by your employer &amp; deposited to RPFC/Trust.</t>
  </si>
  <si>
    <t>Why it is important for me to fill up nomination?</t>
  </si>
  <si>
    <t>To get tax free EPF money, you must complete 5 years in the service. The total duration of PF account does not matter. Suppose you work for 4 years and withdraw one year after leaving the job. Thus, your PF account would be 5 years old. Still, your EPF withdrawal would be subject to tax.</t>
  </si>
  <si>
    <t>Based on what I know, the EPF account stops accumulating interest after 36 months and is marked inactive. However, you have mentioned that the amount is taxable if withdrawn before 60 months, so even if the account is inactive I cannot withdraw the money</t>
  </si>
  <si>
    <t>Tax on EPF Withdrawal</t>
  </si>
  <si>
    <t>After the transfer of PF balance, the previous service period is added in your recent service period. Therefore, for EPFO your total service period would the total duration. The tax provision is applicable to the total service period. Since, total period would be less than 5 years, you would get EPF balance tax free.</t>
  </si>
  <si>
    <t>If I changed my company from A to B and got my PF amount transferred, I work in Organization A for 6 years, had I withdrawn it would have been non-taxable, Now If I withdraw the total amount from org B in another 6 months or 1 year, whole amount would be</t>
  </si>
  <si>
    <t>If you withdraw money from your first account, it would be taxable. You may get the EPF balance minus TDS. However, if you transfer the PF balance, your total service period would be more than 5 years. Thus, in future, you would be able to withdraw PF tax-free.</t>
  </si>
  <si>
    <t>I want to withdraw my PF from my last employer, (Where I worked for 2.5 years). Now I am working with another employer for last 3.5 years. What will be the tax in % on the withdrawal as the a/c is more than 5 years old and inactive for last 3.5 years?</t>
  </si>
  <si>
    <t xml:space="preserve">You are going to lose 10% amount from PF settlement because of 20 days gap of 5 year service. TDS will be deducted 10% from PF settlement amount. 
Kindly initiate the online claim request in uan portal for settlement. 
URL : https://unifiedportal-mem.epfindia.gov.in/memberinterface/
</t>
  </si>
  <si>
    <t xml:space="preserve">I will be leaving my organization with 4 years 11 months 10 days of serving, and want to go for higher study. Will my settlement amount is taxable.  </t>
  </si>
  <si>
    <t>Settlement</t>
  </si>
  <si>
    <t xml:space="preserve">Yes, you can withdraw your PF. The TDS is not applicable in your case. Neither, you are liable to pay any tax. </t>
  </si>
  <si>
    <t>I was with employer A for 4.5 years who managed PF on their own. Then I moved to employer B who manages PF through EPFO I worked with employer B for 3 years. While moving from employer A to B I got my PF transferred to EPFO. Now I am moving to USA.  Can i withdraw my PF amount</t>
  </si>
  <si>
    <t>You can withdraw PF without paying TDS by using the Form 15G. But it does not mean that your PF has become tax free. You should pay the tax according to the above procedure.</t>
  </si>
  <si>
    <t>I am working for a MNC for past 2.5 years. I am going to leave this organization as I am going for higher studies (for 2 years.) abroad. So, Can I initiate the withdrawal process by submitting form 15G +PAN) to withdraw a PF amount without any taxation?</t>
  </si>
  <si>
    <t>Tax/TDS</t>
  </si>
  <si>
    <t xml:space="preserve">It is not always possible to avoid tax on EPF. You may have some compulsion to leave the job before 5 years. It means you are liable to pay the tax on EPF withdrawal. But, the tax on EPF may be less than 10% amount of the EPF. While minimum TDS is 10%. Hence, you would like to defer the payment of tax. You may want to avoid the TDS. Is this possible? Yes, you can avoid TDS.
To avoid TDS you must fill the form 15G or form 15H. These forms are the declaration of non-taxability. The form 15 G is widely used to avoid TDS by common public. The form 15H is used by the senior citizens.
</t>
  </si>
  <si>
    <t>How can you avoid TDS on your EPF?</t>
  </si>
  <si>
    <t xml:space="preserve">If you have given the PAN - Normally, an employer itself submits PAN of all the employees. If an employee has given the PAN, the TDS would be 10% instead of 34.6%.
If you have submitted Form 15G/ 15H - If an employee submits form 15 G with the EPF withdrawal form, the TDS would not be applicable. The form 15G/15H is a self-declaration that your total income (including EPF corpus) is within the tax free limit.
Completion of 5 years - No TDS for Most of the Employees - Most of the employees leave the service after 5 years of service. Therefore, they need not to worry about the TDS of EPF. Please note these points.
The EPF maturity amount is tax-free, if you are in the continuous service of more than 5 years.
</t>
  </si>
  <si>
    <t>If there any relaxation form of TDS from EPF withdrawal?</t>
  </si>
  <si>
    <t xml:space="preserve">Please note that PF amount reflected in your monthly Pay slip is contribution done by you &amp; employer contribution is reflected in your CTC &amp; it is not reflected in your Pay slip. Your CTC is consisting of PF contribution from employer. </t>
  </si>
  <si>
    <t>Please clarify whether my PF amount deducted twice i.e. from my Payslip and CTC?</t>
  </si>
  <si>
    <t>PF</t>
  </si>
  <si>
    <t>PF A/C and Pension A/C Details</t>
  </si>
  <si>
    <r>
      <t xml:space="preserve">As per PF rules, out of Employer contribution 8.33% of your basic salary (with a sealing up to Rs.15000/- of the basic salary) goes to your Pension Account. Remaining part of the Employer contribution goes to your PF account. So Employer contribution To PF account is less than Employee’s contribution to PF.
The Employee Pension Scheme is a mandatory like your income tax and needs to be contributed out of the employer contribution to the PF. 
EPS TRANSFER CLAUSE
</t>
    </r>
    <r>
      <rPr>
        <sz val="11"/>
        <color theme="8"/>
        <rFont val="Calibri"/>
        <family val="2"/>
        <scheme val="minor"/>
      </rPr>
      <t>While transferring the PF amount, EPS will also transferred as service period to the new organization of the Member.</t>
    </r>
    <r>
      <rPr>
        <sz val="11"/>
        <color theme="1"/>
        <rFont val="Calibri"/>
        <family val="2"/>
        <scheme val="minor"/>
      </rPr>
      <t xml:space="preserve">
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
Thanks
</t>
    </r>
  </si>
  <si>
    <t xml:space="preserve">Way EPS is mandatory and what is the clause </t>
  </si>
  <si>
    <t>EPS</t>
  </si>
  <si>
    <t>Please note that Employer's contribution to PF is included in your CTC (Cost To Company) and will directly deposit to the PF office and Employee's Contribution will deduct from your salary. To know about your exact fixed pay, kindly contact your HR Rep or Payroll team. PF help desk have no visibility about your salary structure.</t>
  </si>
  <si>
    <t>Company part of PF was added in MY CTC.</t>
  </si>
  <si>
    <t xml:space="preserve">PF and Pension A/c number will displayed in Pay slip. </t>
  </si>
  <si>
    <t>Where I can see my pension A/c number?</t>
  </si>
  <si>
    <t>Pension A/c Number</t>
  </si>
  <si>
    <t>Please note that, PF A/c will reflected in salary slip after one month from the PF deduction.</t>
  </si>
  <si>
    <t>When my pf number will be updated in payslips.</t>
  </si>
  <si>
    <t>As per the PF rules every Company should allot a new PF account number to their new employees. We will allot the PF A/c number after deducting the PF amount from your salary. PF A/c will reflect the number in your salary slip after one month from the PF deduction.</t>
  </si>
  <si>
    <t xml:space="preserve">Will I get the new PF number </t>
  </si>
  <si>
    <t xml:space="preserve">Kindly approach your respected employer / write a mail to trust pf team for PF slips / PF balance </t>
  </si>
  <si>
    <t>My pf was accounted in trust, how to know the balance</t>
  </si>
  <si>
    <t>EPF Balance Enquiry</t>
  </si>
  <si>
    <t>Kindly approach your respected employer / write a mail to trust pf team for PF slips / Form number 23 PF contributions copies</t>
  </si>
  <si>
    <t xml:space="preserve">How to check PF balance for Non UAN member. </t>
  </si>
  <si>
    <t>The EPFO has launched the Official Mobile App. The APP not only tells the EPF balance but also you can activate UAN through this APP. You can download this App from the EPFO website. The EPF mobile App is also available at google play store. To check the PF account balance through the app, you have to enter the UAN and registered mobile number. The facility to check PF balance is available to only those members who has activated UAN to the UAN portal. The activation can be also done through this Mobile app.</t>
  </si>
  <si>
    <t>Is there any Mobile App for Provident Fund to check my PF?</t>
  </si>
  <si>
    <t>Amount is as depend on PF balance available in your PF A/c. The sanction of the partial withdrawal is the sole discretion of the RPFC authority after scrutinizing the online request.</t>
  </si>
  <si>
    <t>How much pf amount i will get once i applied for pf partial withdrawal/pf loan?</t>
  </si>
  <si>
    <t>PF partial withdrawal / pf loan</t>
  </si>
  <si>
    <t xml:space="preserve">Now you can do EPF Withdrawal Online! On 1 May 2017, Labour Day, EPFO announced that all EPF Members who have activated their UAN and seeded their KYC (Aadhaar) with EPFO will be able to apply for PF partial Settlement (Form 31) from the their UAN Interface directly.
Kindly login to UAN portal and click on Online service tab and select the form 31 option to fill the application. 
URL : https://unifiedportal-mem.epfindia.gov.in/memberinterface/
</t>
  </si>
  <si>
    <t>How to initiate the partial withdrawal</t>
  </si>
  <si>
    <t xml:space="preserve">The PF Authority is allowing partial withdrawal/PF loan for following reasons and the eligibility conditions –
• Advance for Purchase of Dwelling site.
• Advance for Purchase of Dwelling House/Flat.
• Advance for Construction of House.
• Advance for Repayment of Housing loan to State Govt. housing board or any other Govt. recognized housing finance body.
• Advance for Illness viz. Hospitalization for more than a month, major surgical operations, or Suffering from T.B., Leprosy, Paralysis Cancer, Heart ailment etc.
• Advance for Marriage of Self/Son/Daughter/Sister/Brother.
• Advance for Post Matriculation Education of Son/Daughter.
• Advance for Damage to the Property due to Natural Calamity. (Flood/Earthquake/Riot)
• Advance for Member affected by cut in supply of Electricity.
• Advance for Member who is physically handicapped.
To check the know the eligibility : Kindly login to UAN portal and click on Online service tab and select the form 31 option. 
URL : https://unifiedportal-mem.epfindia.gov.in/memberinterface/
</t>
  </si>
  <si>
    <t>what are the different conditions where i can apply for pf partial withdrawal/pf loan?</t>
  </si>
  <si>
    <t xml:space="preserve">He should provide his employer with such details as would be required for the scheme purposes. He should submit his scheme certificate to his new employer if he changes his employment.
</t>
  </si>
  <si>
    <t>Employee is a member of The Employees’ Pension scheme. What are his duties</t>
  </si>
  <si>
    <t>Employee Pension Scheme Related Queries</t>
  </si>
  <si>
    <t>He /She can change his/her nomination whenever he/she decide within the framework of rules for such nomination. In other words if he/she has a family, nomination should be in favor of a member(s) of the family. If he/she has no family he/she can nominate anyone he/she wishes.</t>
  </si>
  <si>
    <t>Can member change his / her Nomination</t>
  </si>
  <si>
    <t>Update nomination</t>
  </si>
  <si>
    <t xml:space="preserve">The amount will be paid to dependent father or dependent mother as the case may be.
</t>
  </si>
  <si>
    <t>Who shall be benefited in case member has not nominated any?</t>
  </si>
  <si>
    <t xml:space="preserve">Benefit will be paid to him/her and in his/her absence to his/her family.
</t>
  </si>
  <si>
    <t>Is Member only beneficiary of Fund</t>
  </si>
  <si>
    <t>Benefits</t>
  </si>
  <si>
    <t>Yes, by refunding the withdrawal benefit together with interest. Thereafter, he/she will be entitled to receive pension from age 58, if he/she completes at least 10 yrs. of contributory service by then.</t>
  </si>
  <si>
    <t>An Employee was a Family pension scheme member. He/she has left on 10-11-2017 and he / She is 54 yrs old. Still employee eligible for pension</t>
  </si>
  <si>
    <t>No, the contribution is calculated on the salary ceiling as per the provisions of the EPF Act, 1952. The salary ceiling gets upwardly revised over a period of time.</t>
  </si>
  <si>
    <t>Can I voluntarily contribute to Pension Scheme</t>
  </si>
  <si>
    <t>Contribution</t>
  </si>
  <si>
    <t xml:space="preserve">Yes. If eligible, Monthly Pension can be drawn, even if in employment after attaining 58 years of Age.
</t>
  </si>
  <si>
    <t>After attaining 58 years, while in employment, can I draw pension. If I am fulfilling required conditions</t>
  </si>
  <si>
    <t>Actual Pension shall become payable after completion of 58 years of age and will depend on contributory service and pensionable salary, which shall be average monthly pay drawn during the contributory period of service in the span of 12 months preceding the date of exit.</t>
  </si>
  <si>
    <t>How much pension will I get</t>
  </si>
  <si>
    <t>Every member of the ceased Family Pension Scheme 1971 and anyone who joins any covered establishment on or after 16-11-95 is compulsory to join this scheme, provided his/her salary/wage is less than Rs. 15000/- per month at the date of appointment.</t>
  </si>
  <si>
    <t>Who will be covered by the Pension Scheme</t>
  </si>
  <si>
    <t>Contributory service means the period of actual service rendered by a member for which contributions to the fund have been received or are receivable.</t>
  </si>
  <si>
    <t>What is Contributory service</t>
  </si>
  <si>
    <t>Under Employees’ Pension Scheme, 1995, Family means –
• Depended monther, depended Father, Wife &amp; children in case of male member of the Employees’ Pension Fund;
• Depended monther, depended Father, Husband &amp; children in case of a female member of the Employees’ Pension Fund; and
• Minor sons and unmarried daughters (also includes legally adopted children) of a member of the Employees’ Pension Fund.</t>
  </si>
  <si>
    <t>What is Family under Pension Scheme</t>
  </si>
  <si>
    <t>All employees covered under Employees Provident Fund and Misc. Provisions Act, 1952, who have not completed the age of 58 years become members of The Employees’ Pension Scheme, 1995.</t>
  </si>
  <si>
    <t>Is it Compulsory to Join Employees’ Pension Scheme 1995</t>
  </si>
  <si>
    <t>Employees Provident Fund and Misc. Provisions Act, 1952, provide for Pension benefits to eligible employees under The Employees’ Pension Scheme.1995.</t>
  </si>
  <si>
    <t>What is Employees’ Pension Scheme 1995</t>
  </si>
  <si>
    <t>Yes, you can. The additional contribution is called as ‘voluntary contribution’. But such additional contribution will not be matched by your employer.
All the same rules and interest rate will apply to your voluntary contribution regarding withdrawal, transfer, interest rate and so forth.</t>
  </si>
  <si>
    <t>Can i make EPF contributions more than 12% of my salary</t>
  </si>
  <si>
    <t>EPF General Queries</t>
  </si>
  <si>
    <t>The interest is calculated only on the EPF and not on EPS aspect. So only the contribution of the employer to the EPF plus the employee’s contribution to the EPF generates interest and no other aspect such as EPS.</t>
  </si>
  <si>
    <t>Whether I get interest on EPF and EPS amount</t>
  </si>
  <si>
    <t xml:space="preserve">The contributions made towards EPF is eligible for tax deduction under section 80C.
</t>
  </si>
  <si>
    <t>Are there ant Tax benefits from contributing to the EPF</t>
  </si>
  <si>
    <t xml:space="preserve">The benefits under the EPF Scheme, 1952 to the employee are as follows:
• Compulsory savings with equal additional amount from the Employer.
• Allowed for deduction from Income Tax.
• Interest earned is not liable for Income Tax.
</t>
  </si>
  <si>
    <t>What are the benefits under the Employee provident Fund scheme 1952</t>
  </si>
  <si>
    <t xml:space="preserve">Yes. Any person drawing a basic salary and dearness allowance of less than Rs 15,000 per month has to mandatorily contribute to the EPF and any person drawing the basic salary and dearness allowance above this limit can opt to contribute to the EPF. The opting out of the scheme should be done at the start of a career and once opted in, contributions are mandatory. Many people still tend to contribute to the EPF because any salary that does not go into EPF increases the in hand salary and hence increases the amount of tax to be paid. It also helps build a corpus to secure post retirement income.
</t>
  </si>
  <si>
    <t>Is it Mandatory to contribute to EPF</t>
  </si>
  <si>
    <t>Category</t>
  </si>
  <si>
    <t>What is Profession Tax (PT)?</t>
  </si>
  <si>
    <t>No. The travel must be a straight and direct travel from one place to another place only. The shortest route for travel is accepted. There is a condition that, one claim must be for going to the home town.</t>
  </si>
  <si>
    <t>Whether an employee can go two or three places and claim for the LTA?</t>
  </si>
  <si>
    <t>LTA</t>
  </si>
  <si>
    <t>You can check the Payslip variance summary report with the remarks</t>
  </si>
  <si>
    <t>Why there is a change or variance in my salary</t>
  </si>
  <si>
    <t>Your taxable amount has been increased compared to last month, you can verify the same with the attached Income Tax Variance Report</t>
  </si>
  <si>
    <t>Why there is a change in my Tax Amount</t>
  </si>
  <si>
    <t>Investment proofs has to be submitted at the year end through EPSF Tool which will be enabled at the year end.  A separate communication will be sent on your official email id on the cut off dates for the submission of investment proof</t>
  </si>
  <si>
    <t>When do I need to submit the investment proofs?</t>
  </si>
  <si>
    <t>EPSF is Employee Proof Submission Form, where employees can update investment proofs details.</t>
  </si>
  <si>
    <t>What is EPSF</t>
  </si>
  <si>
    <t>EPSF</t>
  </si>
  <si>
    <r>
      <t xml:space="preserve">You can submit the investment proofs on the portal basis the cut-off dates and the windows enabled.  Navigation is as follows:  </t>
    </r>
    <r>
      <rPr>
        <sz val="11"/>
        <color rgb="FFFF0000"/>
        <rFont val="Calibri"/>
        <family val="2"/>
        <scheme val="minor"/>
      </rPr>
      <t>Ascent login&gt;&gt;Tax &amp; Reimbursement&gt;&gt;submit tax proof</t>
    </r>
  </si>
  <si>
    <t>How to submit the investment proof</t>
  </si>
  <si>
    <t>If you have not submitted your PAN details, we shall be calculating the tax flat 20% on net taxable income.Request you to please update the PAN details in the employee profile tool, so that we can recalculate your tax liability in the next month and adjust it for the future months.</t>
  </si>
  <si>
    <t>If I don’t have the Pan No, what shall be the impact</t>
  </si>
  <si>
    <t>In case of any modification required to do in Pan No, request you to provide the details with your HR team, and once we receive the details we shall update the same in our database</t>
  </si>
  <si>
    <t>I want to modify my Pan No. details in the ESS portal</t>
  </si>
  <si>
    <r>
      <t xml:space="preserve">Please navigate the below mentioned path to update your Pan No details.  </t>
    </r>
    <r>
      <rPr>
        <sz val="11"/>
        <color rgb="FFFF0000"/>
        <rFont val="Calibri"/>
        <family val="2"/>
        <scheme val="minor"/>
      </rPr>
      <t>Ascent Login&gt;&gt;My Profile&gt;&gt;Proof of Identity&gt;&gt;Add</t>
    </r>
  </si>
  <si>
    <t>Can you navigate to update Pan  No in the ESS portal</t>
  </si>
  <si>
    <t>Where  shall I udpate my PAN No.</t>
  </si>
  <si>
    <t>Tax calculation for the month shall be arrived after considering all taxable income for the year which includes the projected income, Perquisites if any, and after providing exemptions and deductions basis your investment declaration/proofs.  Tax Amount shall be deducted basis the Income Tax Slab bracket which you would fall in.</t>
  </si>
  <si>
    <t>How the tax is getting calculated</t>
  </si>
  <si>
    <t>Tax related details are available in the tax computation sheet which is uploaded in the portal. Tax computation sheet shall provide the details of Taxable Income, Tax Liability, Tax Recovered and the balance tax payable. Request you to please refer the same</t>
  </si>
  <si>
    <t>How do I know my tax liability</t>
  </si>
  <si>
    <t>Income tax slabs for the current financial year below</t>
  </si>
  <si>
    <t>Income Tax Slab</t>
  </si>
  <si>
    <r>
      <t xml:space="preserve">navigate the below mentioned path to declare your Investments. Ascent Login &gt;&gt; </t>
    </r>
    <r>
      <rPr>
        <sz val="11"/>
        <color rgb="FFFF0000"/>
        <rFont val="Calibri"/>
        <family val="2"/>
        <scheme val="minor"/>
      </rPr>
      <t>Pay &amp; Benefits &gt;&gt; Investment Declaration</t>
    </r>
  </si>
  <si>
    <t>Investment Declaration Navigation</t>
  </si>
  <si>
    <r>
      <t xml:space="preserve">You can view/download the payslip on the portal.  Navigation is as follows: </t>
    </r>
    <r>
      <rPr>
        <sz val="11"/>
        <color rgb="FFFF0000"/>
        <rFont val="Calibri"/>
        <family val="2"/>
        <scheme val="minor"/>
      </rPr>
      <t>Ascent Login&gt;&gt;Pay &amp; Tax&gt;&gt;Tax Computation</t>
    </r>
  </si>
  <si>
    <t>where can I get the tax computation or  Can I get the tax computation</t>
  </si>
  <si>
    <t>salary revision was with effective from xxx, however we have received input with related to your salary revision in the current month, hence we have processed your current month salary as per your new CTC along with the arrears amount as per the effective month. The arrears amount from the effective dates has been shown in the arrears column of the payslip. Kindly request you to please check your payslip.</t>
  </si>
  <si>
    <t>How do I know my salary arrears due to salary revision</t>
  </si>
  <si>
    <t>you have opted for various FBP components and your declaration has been considered with effective from your date of joining/month of FBP declaration.  We have adjusted the amount towards these components from your special allowances accordingly.</t>
  </si>
  <si>
    <t>Special Allowance Arrears</t>
  </si>
  <si>
    <t>Why there is an LOP amount in the salary</t>
  </si>
  <si>
    <t xml:space="preserve">The variation in your salary is due to FBP declaration.  Allocations of reimbursement components are done basis the eligibiliy on the payable special allowance.  Hence special allowance are reduced post FBP/reimbursement component being opted and the reimbursement amounts are paid basis the submission of bills </t>
  </si>
  <si>
    <t>Why there is a salary variation due to FBP planning</t>
  </si>
  <si>
    <r>
      <t xml:space="preserve">we processed your salary as per your CTC. Your compensation details are available in the portal, request you to please refer the same and do revert for clarification. Navigation to view your CTC.    </t>
    </r>
    <r>
      <rPr>
        <sz val="11"/>
        <color rgb="FFFF0000"/>
        <rFont val="Calibri"/>
        <family val="2"/>
        <scheme val="minor"/>
      </rPr>
      <t xml:space="preserve">Ascent Login &gt;&gt; Pay &amp; Benefits &gt;&gt; Compensation Breakup </t>
    </r>
  </si>
  <si>
    <t>Can you give me the break-up of CTC/Salary</t>
  </si>
  <si>
    <r>
      <t xml:space="preserve">You can view/download the payslip on the portal.  Navigation is as follows: </t>
    </r>
    <r>
      <rPr>
        <sz val="11"/>
        <color rgb="FFFF0000"/>
        <rFont val="Calibri"/>
        <family val="2"/>
        <scheme val="minor"/>
      </rPr>
      <t>Ascent Login&gt;&gt;Pay &amp; Tax&gt;&gt;Payslip</t>
    </r>
  </si>
  <si>
    <t>where can I get the payslip or  Can I get the payslip</t>
  </si>
  <si>
    <t>Payslip/Salary Slip</t>
  </si>
  <si>
    <r>
      <t>Details of the reimbursement rejections are updated on the portal under &gt;&gt;</t>
    </r>
    <r>
      <rPr>
        <sz val="11"/>
        <color rgb="FFFF0000"/>
        <rFont val="Calibri"/>
        <family val="2"/>
        <scheme val="minor"/>
      </rPr>
      <t>Pay &amp; Benefits&gt;&gt;Reimbursements.</t>
    </r>
  </si>
  <si>
    <t>Why my reimburseemnt bills are rejected or partially approved</t>
  </si>
  <si>
    <t>Please be informed that as per the reimbursement policy only the current financial year bills (April '19 to March'20) will be considered. Hence we regret to inform you that you cannot claim for the reimbursement bills which pertain to last financial year.</t>
  </si>
  <si>
    <t>Can I submit the previous year reimbursement bills in the current financial year</t>
  </si>
  <si>
    <t xml:space="preserve">Refer the Reimbursement History link </t>
  </si>
  <si>
    <t>Can I know the reimbursement balance</t>
  </si>
  <si>
    <t>the unclaimed reimbursement amount will be paid back to you as taxable along with your March salary as taxable. The tax will be calculated on the amount as per your tax bracket</t>
  </si>
  <si>
    <t>Unclaimed Reimbursement</t>
  </si>
  <si>
    <t>How much amount can I claim from the reimbursement element</t>
  </si>
  <si>
    <t>You have opted the following component in the FBP tool to claim the reimbursemnt  on submission of bills.  You can refer the details in the Reimbursement Claim History</t>
  </si>
  <si>
    <t>What is my reimbursement eligibility</t>
  </si>
  <si>
    <r>
      <t xml:space="preserve">navigate the below mentioned path to apply for reimbursement.Ascent </t>
    </r>
    <r>
      <rPr>
        <sz val="11"/>
        <color rgb="FFFF0000"/>
        <rFont val="Calibri"/>
        <family val="2"/>
        <scheme val="minor"/>
      </rPr>
      <t>Login &gt;&gt; Pay &amp; Benefits &gt;&gt; Reimbursements &gt;&gt; Apply.</t>
    </r>
  </si>
  <si>
    <t>Reimbursement Claim Navigation</t>
  </si>
  <si>
    <t>Current LTA block period is 2018-2021</t>
  </si>
  <si>
    <t>What is the current LTA block period to claim exemption?</t>
  </si>
  <si>
    <t>LTA Block Year</t>
  </si>
  <si>
    <t>LTA Exemption is available for travel allowance given by the employer to the employee or his family. The exemption is claimed for two journeys in a block of four years. Presently, the LTA block is 2018-2021.  The exemption if remains unclaimed can be carried forward to next year. The LTA rules for exemption are as follows: 1. If the employee travels through air, an economy class fare of the Airlines is allowed as an exemption 2. If the employee does not travel through air and the places are connected through rail, AC First Class Rail fare is granted as an exemption.  3. If the employee does not travel by rail or air and the places are also not connected by rail or air, Where Recognised mode of transport is available, First or Deluxe Class fare of such transport is allowed as an exemption; Where Recognised form of transportation is not available, an amount equal to the AC First Class Rail fare (the distance of the shortest route is considered) is allowed as an exemption.</t>
  </si>
  <si>
    <t>what is the current LTA Rules?</t>
  </si>
  <si>
    <t xml:space="preserve">what is the LTA eligibility </t>
  </si>
  <si>
    <t>How many times we can claim LTA in a year</t>
  </si>
  <si>
    <t>The tax exemption would be minimum of the below 4 points:                                         1. Amount received as leave encashment                                                                            2. Maximum cap as stated by government – Rs 3 Lakhs                                                      3. Last 10 months average basic salary &amp; dearness allowance before leaving the job                                                                                                                                                             4. Cash equivalent of the leave balance, subject to maximum of 30 days for each completed year of service.                                                                                           No tax exemption is available for earned leave encashed during the service period.</t>
  </si>
  <si>
    <t>can you share the leave encashment exemption rule</t>
  </si>
  <si>
    <t>Please be informed that the leave encashment amount is calculated as below. Leave Encashment = Basic x no of days/30.                                                                        Note:  Basis of considering the salary for calculation varies as per the company policy</t>
  </si>
  <si>
    <t>How is my Leave Encashment amount is calculated</t>
  </si>
  <si>
    <t>what is HRA/House Rent Allowance?</t>
  </si>
  <si>
    <t>HRA exemption is provided based on the below mentioned conditions and the least of the below is condidered for exemption.                                                                                                     1. Actual HRA Received                                                                                                              2. Difference between Rent Paid and 10% on Basic                                                                                3. 50% or 40% of your basis (50% for Metro, 40% for non-metro)</t>
  </si>
  <si>
    <t>How is HRA exemption been calculated?</t>
  </si>
  <si>
    <t>Till the financial year 2019-19 Gratuity up to the amount of Rs 20 lakhs is exempted from tax, however Gratuity amount more than Rs 20 Lakhs is taxable.  From the year 2019-20 onwards, the Gratuity amount exemption has been enhanced to Rs.30 lakhs.</t>
  </si>
  <si>
    <t>what is the exemption limit for Gratuity amount</t>
  </si>
  <si>
    <t>Gratuity Amount will be paid to the employees only during their final settlement and the employee has to serve the organization for minimum of 4 years and 240 days in order to be eligible.</t>
  </si>
  <si>
    <t>What is the eligibility for Grautity Amount</t>
  </si>
  <si>
    <t>Gratuity=last drawn basic*15/26 x No of years served in the organisation.  In order to the eligible, Employee has to be serve the organisation for the minimum of 4 years 240 days. Gratuity upto the amount of 20 lakh is exempted from tax</t>
  </si>
  <si>
    <t>How is gratuity amount  gets calculated</t>
  </si>
  <si>
    <t>Form 16 is password protected. You can access it by using your 10 digit PAN No &amp; Date of Birth combination.Example: IF PAN No: ABCP1234F &amp; Date of Birth- 10-June-1987. Password should be abcp1234f10061987</t>
  </si>
  <si>
    <t>what is the password to open my form 16 document?</t>
  </si>
  <si>
    <t>Form 16 Password</t>
  </si>
  <si>
    <t>Form 16 for the previous years has been shared with your internal HR Team. Hence, request you to contact your HR team for the required form 16.</t>
  </si>
  <si>
    <t>can I get the form 16 for the previous years</t>
  </si>
  <si>
    <t>Form 16 Previous Year</t>
  </si>
  <si>
    <t>form 16 for the existing financial year will be generated and issued by the end of financial year.  Hence, we regret to inform you that as of now we will not be able to share you the form 16 for the current financial year.The form 16 for the current financial year will be shared to you by June of the next financial year</t>
  </si>
  <si>
    <t>where can I get the Form 16 or  Can I get the form 16</t>
  </si>
  <si>
    <t>Form 16 Current Year</t>
  </si>
  <si>
    <t>Where shall I download the Form 16 in ESS portal</t>
  </si>
  <si>
    <t>Post your allocation in the FBP Planning, the balance amount shall be paid under Special Allowance component (Balancing Figure).  The balance amount is Rs.xxxxx which shall be paid monthly.</t>
  </si>
  <si>
    <t>Can I know the FBP balance</t>
  </si>
  <si>
    <t>As per the details, the FBP Eligibility is shown below:</t>
  </si>
  <si>
    <t>Can I know the eligibility to plan my FBP</t>
  </si>
  <si>
    <t>FBP components which you are eligible to plan such LTA, Telephone, Sodexo etc in your FBP tool, the declared amount will be deducted from your special allowances and will be paid to you on the submission of bills and also tax exemption will be provided as per the IT rules.However, in case if you want to take the whole special allowance amount as taxable along with your salary, you are not supposed to opt/plan for any of the FBP component.</t>
  </si>
  <si>
    <t>what is the FBP process</t>
  </si>
  <si>
    <t>What is FBP in salary</t>
  </si>
  <si>
    <t>Any changes/corrections to your personal details shall be done only through your HR input. Hence request you to share the details to your HR team, and once we receive the details we shall update the same in our database</t>
  </si>
  <si>
    <t>How do I correct my designation in the ESS portal</t>
  </si>
  <si>
    <t>we update the personal details only as per your HR input. Hence, request you to please update your bank account details to your HR team, once we receive the details from your HR team we will update the same in our database</t>
  </si>
  <si>
    <t>Can I update the designation on the ESS portal</t>
  </si>
  <si>
    <t>How can I make the correction or changes to my Date of Birth</t>
  </si>
  <si>
    <t>we update the personal details only as per your HR input. Hence, request you to please update your Date of Birth to your HR team, once we receive the details from your HR team we will update the same in our database</t>
  </si>
  <si>
    <t>can I update the date of birth details in the ESS portal</t>
  </si>
  <si>
    <r>
      <t xml:space="preserve">The cut-off for submitting the investment proof for the financial year 2019-2020 is </t>
    </r>
    <r>
      <rPr>
        <sz val="11"/>
        <color rgb="FFFF0000"/>
        <rFont val="Calibri"/>
        <family val="2"/>
        <scheme val="minor"/>
      </rPr>
      <t>mm/ddd/yyyy</t>
    </r>
  </si>
  <si>
    <t>when do I submit the investment proof document</t>
  </si>
  <si>
    <r>
      <t xml:space="preserve">The cut-off for claiming the Reimbursement  for the current month is </t>
    </r>
    <r>
      <rPr>
        <sz val="11"/>
        <color rgb="FFFF0000"/>
        <rFont val="Calibri"/>
        <family val="2"/>
        <scheme val="minor"/>
      </rPr>
      <t>mm/ddd/yyyy</t>
    </r>
  </si>
  <si>
    <t xml:space="preserve">when is the cut off date to claim the reimbursement </t>
  </si>
  <si>
    <t>The cut-off date for planning your Flexi Benefit Planning (FBP) for the current  financial year 2019-2020 is mm/ddd/yyyy</t>
  </si>
  <si>
    <t>When is the cut off date for doing my FBP planning</t>
  </si>
  <si>
    <r>
      <t xml:space="preserve">The cut-off date for updating the investment declaration for the current month to the financial year 2019-2020 is </t>
    </r>
    <r>
      <rPr>
        <sz val="11"/>
        <color rgb="FFFF0000"/>
        <rFont val="Calibri"/>
        <family val="2"/>
        <scheme val="minor"/>
      </rPr>
      <t>mm/ddd/yyyy</t>
    </r>
  </si>
  <si>
    <t>when is the cut of dates for submitted the investment declaration</t>
  </si>
  <si>
    <t>we update the personal details only as per your HR input. Hence, request you to please update your correct bank account details to your HR team, once we receive the details from your HR team we will update the same in our database</t>
  </si>
  <si>
    <t>How can I make the correction or change to my bank Account no</t>
  </si>
  <si>
    <t>Where shall I update the Bank Account No in the ESS Portal</t>
  </si>
  <si>
    <t>In case of any modification required to do in Aadhar No, request you to provide the details with your HR team, and once we receive the details we shall update the same in our database</t>
  </si>
  <si>
    <t>I want to modify my Aadhar No.</t>
  </si>
  <si>
    <t>Aadhar No Correction</t>
  </si>
  <si>
    <r>
      <t xml:space="preserve">Please navigate the below mentioned path to update your Aadhar details.  </t>
    </r>
    <r>
      <rPr>
        <sz val="11"/>
        <color rgb="FFFF0000"/>
        <rFont val="Calibri"/>
        <family val="2"/>
        <scheme val="minor"/>
      </rPr>
      <t>Ascent Login&gt;&gt;My Profile&gt;&gt;Proof of Identity&gt;&gt;Add</t>
    </r>
  </si>
  <si>
    <t>Can you navigate to update Aadhar No in the ESS portal</t>
  </si>
  <si>
    <t>where shall I update my Aadhar No in ESS portal</t>
  </si>
  <si>
    <t>Answers</t>
  </si>
  <si>
    <t>Questions</t>
  </si>
  <si>
    <t>Profession tax is a state specific tax with a slab rates. Employer deducts the tax from the salary and remits to state government account every month in the specified form.  The PT amount qualifies for deduction under Income Tax Act u/s 16 upto the maximum of 2500 per annum.</t>
  </si>
  <si>
    <t>What is the maximum exemption per employee / dependent amount given for Medical Insurance under section 80 D?</t>
  </si>
  <si>
    <t>Please refer the below table for the exemption limits:</t>
  </si>
  <si>
    <t>Rs.25000</t>
  </si>
  <si>
    <t>Rs.50000</t>
  </si>
  <si>
    <t>Rs.5000</t>
  </si>
  <si>
    <t>INR 25000, if it is 1+5</t>
  </si>
  <si>
    <t>INR 50000, if it is 1+2</t>
  </si>
  <si>
    <t>INR 75000, if it is 1+3 or 1+4</t>
  </si>
  <si>
    <t>Medical Insurance Premium</t>
  </si>
  <si>
    <t>Salary is credited and the payslip is not available in the portal?</t>
  </si>
  <si>
    <t>API</t>
  </si>
  <si>
    <t>You can view the payslip after the salary gets credited. Payslip data enabling is in process which shall be available in the portal and request you to navigate the below path, Ascent Login &gt;&gt; My Pay &gt;&gt; Payslip. However, you can view the payslip below for reference</t>
  </si>
  <si>
    <t>I have resigned the organization last week and request you to please provide my last 3 months payslip</t>
  </si>
  <si>
    <t>Please find attached the payslip for the required period and please note that it is a password protected file and the password is your PAN number</t>
  </si>
  <si>
    <t>In case of alumni portal</t>
  </si>
  <si>
    <t>I am not able to see the earnings of medical and conveyance in my payslip, please explain.</t>
  </si>
  <si>
    <t>I am unable to view or download payslips; Is there any issue with the HRBERRY services? Please share the alternative to download the payslips</t>
  </si>
  <si>
    <t>Please to inform you that, the tool is working fine and please refresh the page/try using with some other browser.  However, we are sharing the payslip for your reference</t>
  </si>
  <si>
    <t>The value in payslip which is reflecting under gross salary is the value which you have received till date. Also in tax computation sheet which is reflecting is which is projected for 12 months</t>
  </si>
  <si>
    <t>When I refer my gross salary, there are reflecting different values in my payslip and tax computation sheet, can you explain the difference?</t>
  </si>
  <si>
    <t xml:space="preserve">We would like to inform that if you want to contribute VPF, you have to contribute the same in the VPF tool which is enabled now under “Pay &amp; Benefits”. Once you declare the amount in the tool, we will start deducting the amount from the payroll and will provide exemption on the declared amount accordingly. The maximum amount which you can declare towards VPF is 88% of your basic salary. </t>
  </si>
  <si>
    <t>I want to opt for VPF, please explain in detail.</t>
  </si>
  <si>
    <t>Kindly explain on what basis you have deducted my income tax for the current month.</t>
  </si>
  <si>
    <t>We would like to inform you that we have considered all your investment declarations for tax calculations however after considering your investments your net taxable income still falls under tax bracket; hence tax has been calculated accordingly. Please find the sample income tax calculation below.      Your net taxable income is Rs 12, 00,000                                                                   Income Tax Rate - Taxable Income till Rs 250000                                                                                                          1st slab of 5% (500000-250000) =Rs 12500                                                                         2nd slab of 20% (1000000-500000) = Rs 100000                                                                3rd slab of 30% (1200000-1000000) = Rs 60000                                                                                  Tax on net income = Rs 185000 (+) education cess of 4% = Rs 7400 on tax on net income Total tax liability = Rs 192400 ..For further clarification request you to please check your tax computation sheet.</t>
  </si>
  <si>
    <t>What is marginal tax that you deducted from my salary which is reflecting in the tax computation sheet?</t>
  </si>
  <si>
    <t>Marginal tax is one-time tax that is deducted when you receive one time payments like shift allowance/Bonus/Incentive, etc., It is calculated based on your tax slab rate.</t>
  </si>
  <si>
    <t>I have already submitted my investment proofs to my previous company, should I submit once again in the current company.</t>
  </si>
  <si>
    <t xml:space="preserve">Yes, you will have to submit the proofs in the current organization as well and kindly update previous employer income detail as well. </t>
  </si>
  <si>
    <t>I want to make the investment declaration for the current FY, but am not able to find the option in the portal, please guide</t>
  </si>
  <si>
    <t>Please find the below path to declare the investments.  Ascent Login &gt;&gt; Pay &amp; Benefits &gt;&gt; Options &gt;&gt; ITDF</t>
  </si>
  <si>
    <t>Please let me know how can I declare the Investments for the upcoming FY.</t>
  </si>
  <si>
    <t xml:space="preserve">If you are planning for any investment in the current FY, kindly make the declaration in the investment declaration tool and based on the declaration tax will be calculated. </t>
  </si>
  <si>
    <t>Do I need to sign and submit the ITDF form in the drop box?</t>
  </si>
  <si>
    <t>Please be informed that after declaration of your investment in ITDF tool you no need to send any proof now, however at the time of proof submission you are required to submit the proofs for the same</t>
  </si>
  <si>
    <t>We have got the Construction loan sanctioned in this Financial year. Will I be eligible to show the same in the IT rebate?</t>
  </si>
  <si>
    <t>If you have taken housing loan in this current FY and possession is not completed, you can declare under sec 80C for principal amount repayment, stamp charges and registration amount. Also to inform you that after possession in the property you can claim exemption under sec 24B interest on housing loan.</t>
  </si>
  <si>
    <t>Please be informed that my house construction is going on and am paying EMI now, can I claim for tax exemption?</t>
  </si>
  <si>
    <t>If any pre-EMI interest paid before the completion of construction can be claimed over 5 years equally (20% every year). However, pre-EMI paid in the year of completion can be claimed fully in that financial year itself</t>
  </si>
  <si>
    <t>Please be informed that, the ITDF tool is closed now and the same will be enabled in the next month. Kindly declare your investments when the tool is enabled</t>
  </si>
  <si>
    <t>Please note that I have declared my investments in the tool, no changes are reflecting in the dynamic calculation, please help.</t>
  </si>
  <si>
    <t xml:space="preserve">We would like to inform you that, if you have made the declaration, kindly wait for the current month payroll to be processed.
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</si>
  <si>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What are the benefits opting for reimbursement</t>
  </si>
  <si>
    <t>Please be informed that the if you claim any component in the reimbursement, the same amount will be paid as non-taxable income</t>
  </si>
  <si>
    <t>If i want to claim LTA reimbursement, please let me know the steps</t>
  </si>
  <si>
    <t xml:space="preserve">We would like to inform you that, if you want to claim any component in the reimbursement, you will have to opt the same component as a flexi benefit or a company policy should be made available for LTA travel and for the particular component you can claim for the reimbursement.
</t>
  </si>
  <si>
    <t>Please let me know what kind of leaves I have to take for my LTA.</t>
  </si>
  <si>
    <t>We would like to inform you that, you will have to take earned leave / privilege leave for the same</t>
  </si>
  <si>
    <t>How many leaves should be taken for LTA?</t>
  </si>
  <si>
    <t xml:space="preserve">There is actually no limit on the minimum or maximum number of days you need to apply for leave to claim LTA. But, for easier claims/processing try to utilize at least 3 consecutive days of annual leave for LTA purposes. However, you should take the leaves on working days of the organization. </t>
  </si>
  <si>
    <t>Can I claim 2 LTA in a year?</t>
  </si>
  <si>
    <t>Please be informed that you will have to claim only one journey in one calendar year.</t>
  </si>
  <si>
    <t>Is LTA carry forward for the next block?</t>
  </si>
  <si>
    <t>Please note that if you have not claimed LTAs in the previous block, in that one LTA can be carry forward with the conditions.
Condition apply: The carry forward LTA should be claimed in the first year of current block.
You may carry forward your unclaimed LTA to the next year. So, you can request your employer to not deduct tax on it and allow you to claim it next year.</t>
  </si>
  <si>
    <t>Is LTA allowed for international travel?</t>
  </si>
  <si>
    <t>Leave Travel Allowance covers only domestic travel, i.e. only within India. International travel is not covered under this. To claim LTA, the mode of travel should be either air, railway or public transport. Tax exemption on LTA cannot be claimed for more than 2 children on an individual</t>
  </si>
  <si>
    <t>If I travel at the end of the year and returns from a trip which falls beyond 31st Dec, how does it work?</t>
  </si>
  <si>
    <t>Please be informed that you need to consider starting date as a basis and claim for that calendar year</t>
  </si>
  <si>
    <t>How can I opt my flexible component?</t>
  </si>
  <si>
    <t>Please note that, you will have to opt the same under FBP tool by following the below path:
Ascent Login &gt;&gt; Pay &amp; Benefits &gt;&gt; FBP</t>
  </si>
  <si>
    <t>what are the benefits of FBP?</t>
  </si>
  <si>
    <t>You will have to opt the component like LTA, Vehicle, Telephone etc., as a flexi component and the allocated amount will be removed from special allowance to avail Income Tax exemptions. The allocated flexi component will be paid based on the submission of hard/soft copy of the bills.</t>
  </si>
  <si>
    <t>I want to modify my allocated flexi components, please enable the tool.</t>
  </si>
  <si>
    <t>FBP tool is enabled twice in a year  or during any change in the salary  or  as per the input/instruction, we will enable the FBP tool and share the communication on the same</t>
  </si>
  <si>
    <t>Form 11 details</t>
  </si>
  <si>
    <t>PF No</t>
  </si>
  <si>
    <t>Please be informed that as per the new budget for the FY 2019-20, the Medical and Conveyance components have been removed from the salary structure and standard deduction of Rs 50000 will be provided for all the employees by default without submission of bills. Request you to check for the same in Tax computation sheet. Hence, you are not required to apply for the same in the portal.</t>
  </si>
  <si>
    <t>Marginal Tax</t>
  </si>
  <si>
    <t>Flexi/FBP</t>
  </si>
  <si>
    <r>
      <t xml:space="preserve">You can view/download the payslip on the portal.  Navigation is as follows: </t>
    </r>
    <r>
      <rPr>
        <sz val="11"/>
        <color rgb="FFFF0000"/>
        <rFont val="Calibri"/>
        <family val="2"/>
        <scheme val="minor"/>
      </rPr>
      <t>Ascent Login&gt;&gt;Pay &amp; Tax&gt;&gt;Form 16</t>
    </r>
  </si>
  <si>
    <t>Sl No</t>
  </si>
  <si>
    <t>Key Words/Suggested Intent</t>
  </si>
  <si>
    <t>1. Medical insurance premium paid for Self / Spouse / Children                                                Medical insurance premium paid for parents</t>
  </si>
  <si>
    <t>2. Medical insurance premium paid for parents</t>
  </si>
  <si>
    <t>3. Medical insurance premium paid for parents and if any parent is Senior citizen (above 60 years of age)</t>
  </si>
  <si>
    <t>5.Medical preventive medical checkup</t>
  </si>
  <si>
    <r>
      <t xml:space="preserve">Flexible Benefit Plan is a way of structuring the </t>
    </r>
    <r>
      <rPr>
        <b/>
        <sz val="11"/>
        <color theme="1"/>
        <rFont val="Calibri"/>
        <family val="2"/>
        <scheme val="minor"/>
      </rPr>
      <t>salary</t>
    </r>
    <r>
      <rPr>
        <sz val="11"/>
        <color theme="1"/>
        <rFont val="Calibri"/>
        <family val="2"/>
        <scheme val="minor"/>
      </rPr>
      <t xml:space="preserve">. With this, you are given an option to decide which components they want to take and how much they want to take under each component with some predefined checks and balances. </t>
    </r>
  </si>
  <si>
    <r>
      <t>HRA</t>
    </r>
    <r>
      <rPr>
        <sz val="11"/>
        <color theme="1"/>
        <rFont val="Calibri"/>
        <family val="2"/>
        <scheme val="minor"/>
      </rPr>
      <t xml:space="preserve"> or House Rent Allowance is a component of the salary provided by the employer to his/her employee. If you receive </t>
    </r>
    <r>
      <rPr>
        <b/>
        <sz val="11"/>
        <color theme="1"/>
        <rFont val="Calibri"/>
        <family val="2"/>
        <scheme val="minor"/>
      </rPr>
      <t>HRA</t>
    </r>
    <r>
      <rPr>
        <sz val="11"/>
        <color theme="1"/>
        <rFont val="Calibri"/>
        <family val="2"/>
        <scheme val="minor"/>
      </rPr>
      <t xml:space="preserve"> as part of your salary and you live in a rented accommodation, then you can claim full or partial </t>
    </r>
    <r>
      <rPr>
        <b/>
        <sz val="11"/>
        <color theme="1"/>
        <rFont val="Calibri"/>
        <family val="2"/>
        <scheme val="minor"/>
      </rPr>
      <t>HRA exemption</t>
    </r>
    <r>
      <rPr>
        <sz val="11"/>
        <color theme="1"/>
        <rFont val="Calibri"/>
        <family val="2"/>
        <scheme val="minor"/>
      </rPr>
      <t xml:space="preserve"> u/s 10. However, </t>
    </r>
    <r>
      <rPr>
        <b/>
        <sz val="11"/>
        <color theme="1"/>
        <rFont val="Calibri"/>
        <family val="2"/>
        <scheme val="minor"/>
      </rPr>
      <t>HRA</t>
    </r>
    <r>
      <rPr>
        <sz val="11"/>
        <color theme="1"/>
        <rFont val="Calibri"/>
        <family val="2"/>
        <scheme val="minor"/>
      </rPr>
      <t xml:space="preserve"> is fully taxable if you don't live in a rented accommodation</t>
    </r>
  </si>
  <si>
    <r>
      <t xml:space="preserve">LTA is exempt from tax to the extent of actual submission of travel bills for one journey in a year. However, this exemption is available </t>
    </r>
    <r>
      <rPr>
        <b/>
        <sz val="11"/>
        <color theme="1"/>
        <rFont val="Calibri"/>
        <family val="2"/>
        <scheme val="minor"/>
      </rPr>
      <t>once</t>
    </r>
    <r>
      <rPr>
        <sz val="11"/>
        <color theme="1"/>
        <rFont val="Calibri"/>
        <family val="2"/>
        <scheme val="minor"/>
      </rPr>
      <t xml:space="preserve"> in two calendar years or </t>
    </r>
    <r>
      <rPr>
        <b/>
        <sz val="11"/>
        <color theme="1"/>
        <rFont val="Calibri"/>
        <family val="2"/>
        <scheme val="minor"/>
      </rPr>
      <t>twice</t>
    </r>
    <r>
      <rPr>
        <sz val="11"/>
        <color theme="1"/>
        <rFont val="Calibri"/>
        <family val="2"/>
        <scheme val="minor"/>
      </rPr>
      <t xml:space="preserve"> in a block of four calendar years. In other words, you could claim LTA exemption maximum </t>
    </r>
    <r>
      <rPr>
        <b/>
        <sz val="11"/>
        <color theme="1"/>
        <rFont val="Calibri"/>
        <family val="2"/>
        <scheme val="minor"/>
      </rPr>
      <t>twice</t>
    </r>
    <r>
      <rPr>
        <sz val="11"/>
        <color theme="1"/>
        <rFont val="Calibri"/>
        <family val="2"/>
        <scheme val="minor"/>
      </rPr>
      <t xml:space="preserve"> in four calendar years.  Current Block period is 2018-2021</t>
    </r>
  </si>
  <si>
    <r>
      <t>LTA Eligibility is as opted in the FBP tool or as per the input shared by your HR team.LTA</t>
    </r>
    <r>
      <rPr>
        <sz val="11"/>
        <color theme="1"/>
        <rFont val="Calibri"/>
        <family val="2"/>
        <scheme val="minor"/>
      </rPr>
      <t xml:space="preserve"> Exemption is available for travel allowance given by the employer to the employee or his family. The exemption is </t>
    </r>
    <r>
      <rPr>
        <b/>
        <sz val="11"/>
        <color theme="1"/>
        <rFont val="Calibri"/>
        <family val="2"/>
        <scheme val="minor"/>
      </rPr>
      <t>claimed</t>
    </r>
    <r>
      <rPr>
        <sz val="11"/>
        <color theme="1"/>
        <rFont val="Calibri"/>
        <family val="2"/>
        <scheme val="minor"/>
      </rPr>
      <t xml:space="preserve"> for two journeys in </t>
    </r>
    <r>
      <rPr>
        <b/>
        <sz val="11"/>
        <color theme="1"/>
        <rFont val="Calibri"/>
        <family val="2"/>
        <scheme val="minor"/>
      </rPr>
      <t>a</t>
    </r>
    <r>
      <rPr>
        <sz val="11"/>
        <color theme="1"/>
        <rFont val="Calibri"/>
        <family val="2"/>
        <scheme val="minor"/>
      </rPr>
      <t xml:space="preserve"> block of four years. Presently, the block of 2018-2021 is going on.</t>
    </r>
  </si>
  <si>
    <r>
      <t xml:space="preserve">LOP days is as per the input shared by your HR team. You have LOP of </t>
    </r>
    <r>
      <rPr>
        <sz val="11"/>
        <color rgb="FFFF0000"/>
        <rFont val="Calibri"/>
        <family val="2"/>
        <scheme val="minor"/>
      </rPr>
      <t xml:space="preserve">xx </t>
    </r>
    <r>
      <rPr>
        <sz val="11"/>
        <color theme="1"/>
        <rFont val="Calibri"/>
        <family val="2"/>
        <scheme val="minor"/>
      </rPr>
      <t xml:space="preserve">days in this month, and hence the variation which you can view in your salary is due to the LOP days.  </t>
    </r>
  </si>
  <si>
    <r>
      <t>4. Medical insurance premium paid for Self / Spouse / Children /Parents but if any one of the parent is Super Senior citizen (</t>
    </r>
    <r>
      <rPr>
        <b/>
        <i/>
        <sz val="11"/>
        <color rgb="FF000000"/>
        <rFont val="Calibri"/>
        <family val="2"/>
        <scheme val="minor"/>
      </rPr>
      <t>above 80 years of age</t>
    </r>
    <r>
      <rPr>
        <i/>
        <sz val="11"/>
        <color rgb="FF000000"/>
        <rFont val="Calibri"/>
        <family val="2"/>
        <scheme val="minor"/>
      </rPr>
      <t xml:space="preserve">), then </t>
    </r>
    <r>
      <rPr>
        <b/>
        <i/>
        <u/>
        <sz val="11"/>
        <color rgb="FF000000"/>
        <rFont val="Calibri"/>
        <family val="2"/>
        <scheme val="minor"/>
      </rPr>
      <t>medical</t>
    </r>
    <r>
      <rPr>
        <i/>
        <sz val="11"/>
        <color rgb="FF000000"/>
        <rFont val="Calibri"/>
        <family val="2"/>
        <scheme val="minor"/>
      </rPr>
      <t xml:space="preserve"> </t>
    </r>
    <r>
      <rPr>
        <b/>
        <i/>
        <u/>
        <sz val="11"/>
        <color rgb="FF000000"/>
        <rFont val="Calibri"/>
        <family val="2"/>
        <scheme val="minor"/>
      </rPr>
      <t xml:space="preserve">expenditure </t>
    </r>
    <r>
      <rPr>
        <i/>
        <sz val="11"/>
        <color rgb="FF000000"/>
        <rFont val="Calibri"/>
        <family val="2"/>
        <scheme val="minor"/>
      </rPr>
      <t>incurred on their health can be considered. However, please note that for Super senior citizen’s medical expenditure incurred is allowed and not medical insurance premium. Age proof of the very senior citizen is required along with the claim.</t>
    </r>
  </si>
  <si>
    <r>
      <t>Note:</t>
    </r>
    <r>
      <rPr>
        <i/>
        <sz val="11"/>
        <color theme="1"/>
        <rFont val="Calibri"/>
        <family val="2"/>
        <scheme val="minor"/>
      </rPr>
      <t xml:space="preserve">  Maximum amount thereby from the above is either Rs.25000 or Rs.50000 or Rs.75000</t>
    </r>
  </si>
  <si>
    <t>Income Tax Related</t>
  </si>
  <si>
    <t>Reimbursement Related</t>
  </si>
  <si>
    <t>Flexi</t>
  </si>
  <si>
    <t>Client Category</t>
  </si>
  <si>
    <t>Only Payroll</t>
  </si>
  <si>
    <t>Services Offered</t>
  </si>
  <si>
    <t>Payroll + Reimbursement</t>
  </si>
  <si>
    <t>HRIS+Payroll+FBP</t>
  </si>
  <si>
    <t>HRIS+Payroll+Reimbursement</t>
  </si>
  <si>
    <t>Only Compliance</t>
  </si>
  <si>
    <t>Payroll+FBP</t>
  </si>
  <si>
    <t>Only Payroll+Compliance</t>
  </si>
  <si>
    <t>Payroll + FBP+Compliance</t>
  </si>
  <si>
    <t>Payroll + Reimbursement+compliance</t>
  </si>
  <si>
    <t>HRIS+Payroll+FBP+Compliance</t>
  </si>
  <si>
    <t>HRIS+Payroll+Reimbursement+Compliance</t>
  </si>
  <si>
    <t>FLEXI, REIMBURSEMENT,LEAVE &amp; ATTENDANCE</t>
  </si>
  <si>
    <t>FBP, LEAVE &amp; ATTENDANCE</t>
  </si>
  <si>
    <t>LEAVE &amp; ATTENDANCE</t>
  </si>
  <si>
    <t>-</t>
  </si>
  <si>
    <t>FBP</t>
  </si>
  <si>
    <t>FBP,REIMBURSEMENT,COMPLIANCE,L&amp;A</t>
  </si>
  <si>
    <t>RETAIN ONLY COMPLIANCE BLOCK (MY PF)</t>
  </si>
  <si>
    <t>MY PF,L&amp;A</t>
  </si>
  <si>
    <t>MY PF,L&amp;A,FBP</t>
  </si>
  <si>
    <t>MY PF</t>
  </si>
  <si>
    <t>MY PF,FBP</t>
  </si>
  <si>
    <t>My Salary</t>
  </si>
  <si>
    <t>Go to Menu Options</t>
  </si>
  <si>
    <t>View Client Menu Grid</t>
  </si>
  <si>
    <t>Yes</t>
  </si>
  <si>
    <t>No</t>
  </si>
  <si>
    <t>Menu block should be available</t>
  </si>
  <si>
    <t>Did you mean the current month Payslip?</t>
  </si>
  <si>
    <t>Latest salary slip, Salary slip, salary sheet,slips, current month payslip</t>
  </si>
  <si>
    <t xml:space="preserve">Previous month payslip, Last month payslip, old Salary slip, </t>
  </si>
  <si>
    <t>Fetch the data as per the flow and share it</t>
  </si>
  <si>
    <t>If</t>
  </si>
  <si>
    <t>Menu/Sub-Menu blocks to Delink in chatbot</t>
  </si>
  <si>
    <t>Tax Computation, Tax Calculation, Tax deduction, Tax Exemption, Exemption, Perquisite details, Perk details, CLA, LTA Exemption</t>
  </si>
  <si>
    <t>Income Tax Liability, Tax Due, Tax Balance, Monthly Tax, Tax Deduction, Tax for the month, Tax Payable, TDS,</t>
  </si>
  <si>
    <t>LOP, Loss of Pay, Non working days,LWP, Leave without Pay</t>
  </si>
  <si>
    <t>Arrears, Salary Arrears, Differential Salary, Balance Arrears,</t>
  </si>
  <si>
    <t>Pay Calculation, Salary Calculation, Difference in Salary, Variance in pay, Less Salary, Fixed pay difference,</t>
  </si>
  <si>
    <t>CTC, Cost to company, Salary Structure, CTC structure, Compensation Details, New Comp, New Salary details, Revised Salary, Current CTC, Revision</t>
  </si>
  <si>
    <t xml:space="preserve">Reimbursement Approved, Reimbursement Status, Approval, Claim Status, Approval Status, Reimb, Reimbursement rejection, Reason for rejection, </t>
  </si>
  <si>
    <t>How to Claim Reimbursement/where is the link to update reimbursement/How to Navigate the reimbursement claim/access to claim reimbursement on portal</t>
  </si>
  <si>
    <t>Flexi Balance/FBP Balance, FBP due, Flexi due, Unclaimed Flexi, unclaimed FBP</t>
  </si>
  <si>
    <t xml:space="preserve">How is my special allowance is arrived?/Balance Flexi Amount/Balance FBP amount/Unplanned Flexi Amount/personal pay balance </t>
  </si>
  <si>
    <t>Investment Declaration/where to update the investment declaration/IT declaration/</t>
  </si>
  <si>
    <t xml:space="preserve">Cutoff dates, timelines, calendar, last date, Start date, end date, IT declaration date, FBP Cut off, Flexi Cut Off, Reimbursement Cut off, when do I plan my flexi or fbp, last date to update my investment declaration, </t>
  </si>
  <si>
    <t>How do I save tax/where do i invest/Limits under 80C deduction/Maximum deduction allowed under Housing Loan/Limit for Medical Insurance Premium/80D Section</t>
  </si>
  <si>
    <t>How to plan my flexi/how to plan my FBP/where is the link to plan my Flexi/ Link for FBP plan/How to Navigate the Flexi link/access to modify my flexi planon portal/Flexi Process</t>
  </si>
  <si>
    <t>FBP/Flexi/Flexi Eligibility/FBP Plan/FBP Eligibility/How to plan my FBP/Benefits of FBP Flexi</t>
  </si>
  <si>
    <t>can you help me with Tax simulator/Tax calculator/How will I know my tax liability basis the declarations</t>
  </si>
  <si>
    <t>My Date of birth/Email/DOB/Joining Date/DOJ/Location/Place/Position/Designation</t>
  </si>
  <si>
    <t>Aadhar/Aadhar No</t>
  </si>
  <si>
    <t>Bank Account/Bank Account No</t>
  </si>
  <si>
    <t>UAN/Universal Account No</t>
  </si>
  <si>
    <t xml:space="preserve">PF Code/PF No/PF registration No/Provident Fund </t>
  </si>
  <si>
    <t>Leave, Leave Balance, Type of leaves, Leave Opening Balance, Leave Closing Balance, Leave Type,Leave Availed, Leave Credit</t>
  </si>
  <si>
    <t>Hi! I am Roger - AscentHR Chatbot.  I'm here to help you with any queries you have today</t>
  </si>
  <si>
    <t>Subgrouping of "MY PAY " MENU</t>
  </si>
  <si>
    <t>Attendance details/Attendance data/Worked days/</t>
  </si>
  <si>
    <t>OT Hours/OT Details</t>
  </si>
  <si>
    <t xml:space="preserve">Tax Benefits </t>
  </si>
  <si>
    <t>Interest on EPF</t>
  </si>
  <si>
    <t>Contribution/PF Percentage/</t>
  </si>
  <si>
    <t>Pension/EPS/About Pension Scheme</t>
  </si>
  <si>
    <t>Join EPS/Join Pension Scheme</t>
  </si>
  <si>
    <t>Family Meaning in Pension Scheme/Family Definition</t>
  </si>
  <si>
    <t>Contribution Service</t>
  </si>
  <si>
    <t>Coverage in Pension/EPS</t>
  </si>
  <si>
    <t>Pension Amount/Defined Amount</t>
  </si>
  <si>
    <t>Withdraw Pension</t>
  </si>
  <si>
    <t xml:space="preserve">Pension/EPS </t>
  </si>
  <si>
    <t>Beneficiary/Benefited Members</t>
  </si>
  <si>
    <t xml:space="preserve">PF Withdrawal </t>
  </si>
  <si>
    <t>PF Withdraw</t>
  </si>
  <si>
    <t>Online Error</t>
  </si>
  <si>
    <t>Job Change</t>
  </si>
  <si>
    <t>Aadhar/Aadhar No Updation</t>
  </si>
  <si>
    <t>Sure, can you select the month and year</t>
  </si>
  <si>
    <t>Do you want to exlore any of the other options available.</t>
  </si>
  <si>
    <t>Would you also like to view the tax computation sheet</t>
  </si>
  <si>
    <t>Do you need any other details?</t>
  </si>
  <si>
    <t>Navigation/ Link to Update Aadhar No</t>
  </si>
  <si>
    <t>Aadhar No Correction/correction/modify/change</t>
  </si>
  <si>
    <t>Bank Account No. updation/update/information</t>
  </si>
  <si>
    <t>Bank Account No. Correction/Correction/modify/change</t>
  </si>
  <si>
    <t>Investment Declaration Cut off dates/Last date/end date</t>
  </si>
  <si>
    <t>FBP Cut off dates/last date/end date</t>
  </si>
  <si>
    <t>Reimbursement Cut off dates/last date/end date</t>
  </si>
  <si>
    <t>EPSF Cut off dates/last date/end date</t>
  </si>
  <si>
    <t>Date of Birth Updation/update/information</t>
  </si>
  <si>
    <t>Date of Birth Correction/modify/change</t>
  </si>
  <si>
    <t>Designation Updation/update/</t>
  </si>
  <si>
    <t>Designation Correction/modify/change</t>
  </si>
  <si>
    <t>FBP Salary/Flexi plan/flexi</t>
  </si>
  <si>
    <t>FBP Process/Flexi process</t>
  </si>
  <si>
    <t>FBP Eligibility/criteria/entitlement</t>
  </si>
  <si>
    <t>Reimbursement due, Eligibility, Entitlement,  Reimbursement balance, Pending reimbursement, componentwise breakup, Claim details, Claim balance, Lodgement details, lodgement, Expense claim, Claim History, Reimbursement Limit</t>
  </si>
  <si>
    <t xml:space="preserve">Reimbursement Guidelines, Eligibility, Entitlement,Reimbursement Process, Bills submission process, Reimbursement credit </t>
  </si>
  <si>
    <t>FBP Balance/Flexi Balance/Flexi Due</t>
  </si>
  <si>
    <t>Form 16 Download/Form 16 request</t>
  </si>
  <si>
    <t>Gratuity Eligibility/Gratuity Entitlement</t>
  </si>
  <si>
    <t>Gratuity Exemption/Gratuity Deduction</t>
  </si>
  <si>
    <t>HRA Exemption/HRA Deduction</t>
  </si>
  <si>
    <t>HRA Salary/House Rent Salary</t>
  </si>
  <si>
    <t>Leave Encashment Exemption/Privelege Leave Encashment/PL Encash/EL Encash</t>
  </si>
  <si>
    <t>Leave Encashment Calculation/PL Calculation/EL Calculation</t>
  </si>
  <si>
    <t>LTA Eligibility/LTA Entitlement</t>
  </si>
  <si>
    <t>Reimbursement Claim Navigation/Link to claim reimbursement</t>
  </si>
  <si>
    <t>Reimbursement Eligibility/Reimb Entitlement/Reimbursement details/Componentwise details</t>
  </si>
  <si>
    <t>Reimbursement Claim History/Claim details/Previous Month claim/</t>
  </si>
  <si>
    <t>Unclaimed Reimbursement/Balance Reimbursement amount/Reimbursement Due</t>
  </si>
  <si>
    <t>Reimbursement Balance/Status of Reimb Balance</t>
  </si>
  <si>
    <t>Reimbursement Bills/Reimbursement Claim/Previous Year Reimbursement claim/Last year bill</t>
  </si>
  <si>
    <t>Reimbursement Bill Rejection/Reimbursement bill not considered/Bill Rejected/Status of Rejected bill/Submit Rejected bill</t>
  </si>
  <si>
    <t>Payslip/Salary Slip/Pay details/Salary details</t>
  </si>
  <si>
    <t>Salary breakup/CTC Breakup/Compensation details/Revised salary details</t>
  </si>
  <si>
    <t>Salary Calculation/Salary Variation/Salary change/difference in salary</t>
  </si>
  <si>
    <t>LOP calculation/LWF deduction/LWF days/LOP deduction</t>
  </si>
  <si>
    <t>Special Allowance Calculation/Balancing FBP/How Special Allowance is arrived</t>
  </si>
  <si>
    <t>Salary Arrears/Differential Salary</t>
  </si>
  <si>
    <t>Tax Computation Sheet/Tax Calculation Sheet/Tax Sheet</t>
  </si>
  <si>
    <t>Navigation to Investment Declaration/Link to Investment Declaration/Declaration in Portal</t>
  </si>
  <si>
    <t>Income Tax Slabs/Tax Slab/Tax rate</t>
  </si>
  <si>
    <t>Tax Liability/Tax Due/Tax Balance/Remaining Tax</t>
  </si>
  <si>
    <t>Income Tax Calculation/Tax Calculation/How Tax is arrived</t>
  </si>
  <si>
    <t>Pan No Updation/Update</t>
  </si>
  <si>
    <t>Pan Update Navigation/Link to update PAN</t>
  </si>
  <si>
    <t>Pan Correction/Pan Modify/Pan change</t>
  </si>
  <si>
    <t>Pan Not Available/PAN not alloted</t>
  </si>
  <si>
    <t>EPSF Submission/Investment Proof Submission</t>
  </si>
  <si>
    <t>EPSF/About EPSF</t>
  </si>
  <si>
    <t>EPSF Cut off/EPSF Last Date/EPSF End date</t>
  </si>
  <si>
    <t>Income Tax variance/Change in Tax</t>
  </si>
  <si>
    <t>Salary change/Salary Variance/Difference in salary</t>
  </si>
  <si>
    <t>PT</t>
  </si>
  <si>
    <t>Payslip/Salary Slip/Pay details/Salary details/Payslip on portal</t>
  </si>
  <si>
    <t>Salary Clarification/Query/Salary query</t>
  </si>
  <si>
    <t>Payslip Request</t>
  </si>
  <si>
    <t>Salary variation/Difference in salary</t>
  </si>
  <si>
    <t>VPF/Option for VPF</t>
  </si>
  <si>
    <t>Income Tax/Tax Calculation/Basis of Tax Calculation/How tax is arrived</t>
  </si>
  <si>
    <t>Investment Proof/Proof Submission/Proof Related query</t>
  </si>
  <si>
    <t>Investment Declaration/Link to Investment Declaration</t>
  </si>
  <si>
    <t>Investment Declaration/Cut off date for Investment Declaration/Last date for declaration</t>
  </si>
  <si>
    <t>Investment Declaration form/Signature</t>
  </si>
  <si>
    <t>Housing Loan/House Property/ Tax Benefit on Housing Loan</t>
  </si>
  <si>
    <t>Pre-EMI on Housing Loan</t>
  </si>
  <si>
    <t>I missed to fill my investment declaration for 2019-20 financial Year due to my leave. Please help me in filing the same</t>
  </si>
  <si>
    <t>Update Investment Declaration</t>
  </si>
  <si>
    <t>Reimbursement Benefits</t>
  </si>
  <si>
    <t xml:space="preserve">Additional Keywords </t>
  </si>
  <si>
    <t>You can ask queries like:</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</si>
</sst>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FF0000"/>
      <name val="Calibri"/>
      <family val="2"/>
      <scheme val="minor"/>
    </font>
    <font>
      <u/>
      <sz val="11"/>
      <color theme="10"/>
      <name val="Calibri"/>
      <family val="2"/>
      <scheme val="minor"/>
    </font>
    <font>
      <sz val="14"/>
      <color theme="1"/>
      <name val="Calibri"/>
      <family val="2"/>
      <scheme val="minor"/>
    </font>
    <font>
      <u/>
      <sz val="14"/>
      <name val="Calibri"/>
      <family val="2"/>
      <scheme val="minor"/>
    </font>
    <font>
      <sz val="11"/>
      <color rgb="FFFF0000"/>
      <name val="Calibri"/>
      <family val="2"/>
      <scheme val="minor"/>
    </font>
    <font>
      <sz val="10"/>
      <color theme="1"/>
      <name val="Calibri"/>
      <family val="2"/>
      <scheme val="minor"/>
    </font>
    <font>
      <b/>
      <sz val="10"/>
      <color theme="1"/>
      <name val="Calibri"/>
      <family val="2"/>
      <scheme val="minor"/>
    </font>
    <font>
      <sz val="11"/>
      <color theme="1"/>
      <name val="Times New Roman"/>
      <family val="1"/>
    </font>
    <font>
      <sz val="11"/>
      <color theme="8"/>
      <name val="Calibri"/>
      <family val="2"/>
      <scheme val="minor"/>
    </font>
    <font>
      <sz val="11"/>
      <color rgb="FF000000"/>
      <name val="Calibri"/>
      <family val="2"/>
      <scheme val="minor"/>
    </font>
    <font>
      <b/>
      <i/>
      <sz val="11"/>
      <color rgb="FF000000"/>
      <name val="Calibri"/>
      <family val="2"/>
      <scheme val="minor"/>
    </font>
    <font>
      <i/>
      <sz val="11"/>
      <color rgb="FF000000"/>
      <name val="Calibri"/>
      <family val="2"/>
      <scheme val="minor"/>
    </font>
    <font>
      <b/>
      <i/>
      <u/>
      <sz val="11"/>
      <color rgb="FF000000"/>
      <name val="Calibri"/>
      <family val="2"/>
      <scheme val="minor"/>
    </font>
    <font>
      <i/>
      <sz val="11"/>
      <color theme="1"/>
      <name val="Calibri"/>
      <family val="2"/>
      <scheme val="minor"/>
    </font>
    <font>
      <i/>
      <u/>
      <sz val="11"/>
      <color theme="1"/>
      <name val="Calibri"/>
      <family val="2"/>
      <scheme val="minor"/>
    </font>
    <font>
      <b/>
      <sz val="12"/>
      <color theme="1"/>
      <name val="Calibri"/>
      <family val="2"/>
      <scheme val="minor"/>
    </font>
    <font>
      <sz val="16"/>
      <color theme="1"/>
      <name val="Calibri"/>
      <family val="2"/>
      <scheme val="minor"/>
    </font>
    <font>
      <b/>
      <i/>
      <sz val="14"/>
      <color theme="5" tint="-0.249977111117893"/>
      <name val="Calibri"/>
      <family val="2"/>
      <scheme val="minor"/>
    </font>
    <font>
      <b/>
      <u/>
      <sz val="14"/>
      <color theme="5" tint="-0.249977111117893"/>
      <name val="Calibri"/>
      <family val="2"/>
      <scheme val="minor"/>
    </font>
    <font>
      <b/>
      <sz val="14"/>
      <color theme="5" tint="-0.249977111117893"/>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tint="-0.249977111117893"/>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187">
    <xf numFmtId="0" fontId="0" fillId="0" borderId="0" xfId="0"/>
    <xf numFmtId="0" fontId="0" fillId="2" borderId="0" xfId="0" applyFill="1" applyAlignment="1">
      <alignment horizontal="center"/>
    </xf>
    <xf numFmtId="0" fontId="0" fillId="2" borderId="0" xfId="0" applyFill="1"/>
    <xf numFmtId="0" fontId="0" fillId="4" borderId="1" xfId="0" applyFill="1" applyBorder="1" applyAlignment="1">
      <alignment horizontal="center"/>
    </xf>
    <xf numFmtId="0" fontId="0" fillId="5" borderId="1" xfId="0" applyFill="1" applyBorder="1" applyAlignment="1">
      <alignment horizontal="center"/>
    </xf>
    <xf numFmtId="0" fontId="1" fillId="4"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3" borderId="1" xfId="0" applyFill="1" applyBorder="1"/>
    <xf numFmtId="0" fontId="2" fillId="7" borderId="1" xfId="0" applyFont="1" applyFill="1" applyBorder="1"/>
    <xf numFmtId="0" fontId="0" fillId="4" borderId="1" xfId="0" applyFill="1" applyBorder="1"/>
    <xf numFmtId="0" fontId="0" fillId="2" borderId="1" xfId="0" applyFill="1" applyBorder="1" applyAlignment="1">
      <alignment wrapText="1"/>
    </xf>
    <xf numFmtId="0" fontId="1"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vertical="center"/>
    </xf>
    <xf numFmtId="0" fontId="0" fillId="8" borderId="1" xfId="0" applyFill="1" applyBorder="1" applyAlignment="1">
      <alignment horizontal="center" vertical="center" wrapText="1"/>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2" xfId="0" applyFill="1" applyBorder="1" applyAlignment="1">
      <alignment horizontal="center"/>
    </xf>
    <xf numFmtId="0" fontId="0" fillId="2" borderId="2" xfId="0" applyFill="1" applyBorder="1"/>
    <xf numFmtId="0" fontId="0" fillId="2" borderId="11" xfId="0" applyFill="1" applyBorder="1"/>
    <xf numFmtId="0" fontId="0" fillId="2" borderId="5"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5" fillId="5" borderId="1" xfId="1" applyFill="1" applyBorder="1" applyAlignment="1">
      <alignment horizontal="center"/>
    </xf>
    <xf numFmtId="0" fontId="0" fillId="4" borderId="3" xfId="0" applyFill="1" applyBorder="1"/>
    <xf numFmtId="0" fontId="0" fillId="4" borderId="4" xfId="0" applyFill="1" applyBorder="1"/>
    <xf numFmtId="0" fontId="0" fillId="4" borderId="4" xfId="0" applyFill="1" applyBorder="1" applyAlignment="1">
      <alignment vertical="center"/>
    </xf>
    <xf numFmtId="0" fontId="1" fillId="7" borderId="1" xfId="0" applyFont="1" applyFill="1" applyBorder="1" applyAlignment="1">
      <alignment vertical="center"/>
    </xf>
    <xf numFmtId="0" fontId="0" fillId="4" borderId="4" xfId="0" applyFill="1" applyBorder="1" applyAlignment="1">
      <alignment vertical="center" wrapText="1"/>
    </xf>
    <xf numFmtId="0" fontId="0" fillId="4" borderId="1" xfId="0" applyFill="1" applyBorder="1" applyAlignment="1">
      <alignment vertical="center"/>
    </xf>
    <xf numFmtId="0" fontId="0" fillId="2" borderId="0" xfId="0" applyFill="1" applyAlignment="1">
      <alignment vertical="center" wrapText="1"/>
    </xf>
    <xf numFmtId="0" fontId="1" fillId="7" borderId="1" xfId="0" applyFont="1" applyFill="1" applyBorder="1" applyAlignment="1">
      <alignment horizontal="center" vertical="center"/>
    </xf>
    <xf numFmtId="0" fontId="0" fillId="2" borderId="1" xfId="0" applyFill="1" applyBorder="1" applyAlignment="1">
      <alignment vertical="center" wrapText="1"/>
    </xf>
    <xf numFmtId="0" fontId="0" fillId="4" borderId="1" xfId="0" applyFill="1" applyBorder="1" applyAlignment="1">
      <alignment vertical="center" wrapText="1"/>
    </xf>
    <xf numFmtId="0" fontId="1" fillId="7" borderId="1" xfId="0" applyFont="1" applyFill="1" applyBorder="1"/>
    <xf numFmtId="0" fontId="0" fillId="4" borderId="1" xfId="0" applyFill="1" applyBorder="1" applyAlignment="1">
      <alignment wrapText="1"/>
    </xf>
    <xf numFmtId="0" fontId="0" fillId="6" borderId="1" xfId="0" applyFill="1" applyBorder="1" applyAlignment="1">
      <alignment wrapText="1"/>
    </xf>
    <xf numFmtId="0" fontId="0" fillId="2" borderId="0" xfId="0" applyFill="1" applyAlignment="1">
      <alignment wrapText="1"/>
    </xf>
    <xf numFmtId="0" fontId="0" fillId="4" borderId="1" xfId="0" applyFill="1" applyBorder="1" applyAlignment="1">
      <alignment horizontal="center" vertical="center"/>
    </xf>
    <xf numFmtId="0" fontId="0" fillId="5" borderId="1" xfId="0" applyFill="1" applyBorder="1" applyAlignment="1">
      <alignment vertical="center"/>
    </xf>
    <xf numFmtId="0" fontId="6" fillId="2" borderId="0" xfId="0" applyFont="1" applyFill="1"/>
    <xf numFmtId="0" fontId="6" fillId="2" borderId="0" xfId="0" applyFont="1" applyFill="1" applyAlignment="1">
      <alignment horizontal="center"/>
    </xf>
    <xf numFmtId="0" fontId="6" fillId="2" borderId="5" xfId="0" applyFont="1" applyFill="1" applyBorder="1"/>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8" xfId="0" applyFont="1" applyFill="1" applyBorder="1"/>
    <xf numFmtId="0" fontId="6" fillId="2" borderId="9" xfId="0" applyFont="1" applyFill="1" applyBorder="1" applyAlignment="1">
      <alignment horizontal="center"/>
    </xf>
    <xf numFmtId="0" fontId="6" fillId="2" borderId="8" xfId="0" applyFont="1" applyFill="1" applyBorder="1" applyAlignment="1">
      <alignment horizontal="center"/>
    </xf>
    <xf numFmtId="0" fontId="6" fillId="2" borderId="0" xfId="0" applyFont="1" applyFill="1" applyAlignment="1">
      <alignment horizontal="center" vertical="center"/>
    </xf>
    <xf numFmtId="0" fontId="6" fillId="2" borderId="10" xfId="0" applyFont="1" applyFill="1" applyBorder="1"/>
    <xf numFmtId="0" fontId="6" fillId="2" borderId="2" xfId="0" applyFont="1" applyFill="1" applyBorder="1" applyAlignment="1">
      <alignment horizontal="center"/>
    </xf>
    <xf numFmtId="0" fontId="6" fillId="2" borderId="11" xfId="0" applyFont="1" applyFill="1" applyBorder="1" applyAlignment="1">
      <alignment horizontal="center"/>
    </xf>
    <xf numFmtId="0" fontId="1" fillId="2" borderId="0" xfId="0" applyFont="1" applyFill="1" applyAlignment="1">
      <alignment horizontal="center" vertical="center"/>
    </xf>
    <xf numFmtId="0" fontId="1" fillId="0" borderId="0" xfId="0" applyFont="1" applyAlignment="1">
      <alignment vertical="center"/>
    </xf>
    <xf numFmtId="0" fontId="1" fillId="3" borderId="1" xfId="0" applyFont="1" applyFill="1" applyBorder="1" applyAlignment="1">
      <alignment vertical="center" wrapText="1"/>
    </xf>
    <xf numFmtId="0" fontId="2" fillId="7" borderId="1" xfId="0" applyFont="1" applyFill="1" applyBorder="1" applyAlignment="1">
      <alignment horizontal="center" vertical="center"/>
    </xf>
    <xf numFmtId="0" fontId="1" fillId="2" borderId="7" xfId="0" applyFont="1" applyFill="1" applyBorder="1"/>
    <xf numFmtId="0" fontId="0" fillId="2" borderId="13" xfId="0" applyFill="1" applyBorder="1" applyAlignment="1">
      <alignment wrapText="1"/>
    </xf>
    <xf numFmtId="0" fontId="0" fillId="2" borderId="13" xfId="0" applyFill="1" applyBorder="1"/>
    <xf numFmtId="0" fontId="0" fillId="2" borderId="1" xfId="0" applyFill="1" applyBorder="1" applyAlignment="1">
      <alignment vertical="top" wrapText="1"/>
    </xf>
    <xf numFmtId="0" fontId="9" fillId="2" borderId="0" xfId="0" applyFont="1" applyFill="1"/>
    <xf numFmtId="0" fontId="9" fillId="2" borderId="0" xfId="0" applyFont="1" applyFill="1" applyAlignment="1">
      <alignment horizontal="left"/>
    </xf>
    <xf numFmtId="0" fontId="9" fillId="2" borderId="0" xfId="0" applyFont="1" applyFill="1" applyAlignment="1">
      <alignment horizontal="left" vertical="center"/>
    </xf>
    <xf numFmtId="0" fontId="9" fillId="0" borderId="14" xfId="0" applyFont="1" applyBorder="1" applyAlignment="1">
      <alignment horizontal="left" vertical="center"/>
    </xf>
    <xf numFmtId="0" fontId="9" fillId="2" borderId="14" xfId="0" applyFont="1" applyFill="1" applyBorder="1" applyAlignment="1">
      <alignment vertical="center"/>
    </xf>
    <xf numFmtId="0" fontId="9" fillId="0" borderId="14" xfId="0" applyFont="1" applyBorder="1" applyAlignment="1">
      <alignment vertical="center"/>
    </xf>
    <xf numFmtId="0" fontId="9" fillId="2" borderId="14" xfId="0" applyFont="1" applyFill="1" applyBorder="1" applyAlignment="1">
      <alignment vertical="center" wrapText="1"/>
    </xf>
    <xf numFmtId="0" fontId="9" fillId="0" borderId="14" xfId="0" applyFont="1" applyBorder="1" applyAlignment="1">
      <alignment vertical="center" wrapText="1"/>
    </xf>
    <xf numFmtId="0" fontId="9" fillId="7" borderId="14" xfId="0" applyFont="1" applyFill="1" applyBorder="1"/>
    <xf numFmtId="0" fontId="6" fillId="2" borderId="0" xfId="0" applyFon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14" xfId="0" applyBorder="1" applyAlignment="1">
      <alignment horizontal="left" vertical="center"/>
    </xf>
    <xf numFmtId="0" fontId="0" fillId="0" borderId="14" xfId="0" applyBorder="1" applyAlignment="1">
      <alignment horizontal="left" vertical="center" wrapText="1"/>
    </xf>
    <xf numFmtId="0" fontId="0" fillId="2" borderId="14" xfId="0" applyFill="1" applyBorder="1" applyAlignment="1">
      <alignment horizontal="left" vertical="center"/>
    </xf>
    <xf numFmtId="0" fontId="0" fillId="7" borderId="14" xfId="0" applyFill="1" applyBorder="1" applyAlignment="1">
      <alignment horizontal="left" vertical="center" wrapText="1"/>
    </xf>
    <xf numFmtId="0" fontId="0" fillId="2" borderId="0" xfId="0" applyFill="1" applyAlignment="1">
      <alignment horizontal="left" vertical="center"/>
    </xf>
    <xf numFmtId="0" fontId="0" fillId="8" borderId="14" xfId="0" applyFill="1" applyBorder="1" applyAlignment="1">
      <alignment horizontal="left" vertical="center"/>
    </xf>
    <xf numFmtId="0" fontId="9" fillId="0" borderId="18" xfId="0" applyFont="1" applyBorder="1" applyAlignment="1">
      <alignment vertical="center" wrapText="1"/>
    </xf>
    <xf numFmtId="0" fontId="9" fillId="0" borderId="18" xfId="0" applyFont="1" applyBorder="1" applyAlignment="1">
      <alignment horizontal="left" vertical="center"/>
    </xf>
    <xf numFmtId="0" fontId="9" fillId="2" borderId="0" xfId="0" applyFont="1" applyFill="1" applyAlignment="1">
      <alignment vertical="center"/>
    </xf>
    <xf numFmtId="0" fontId="9" fillId="2" borderId="0" xfId="0" applyFont="1" applyFill="1" applyAlignment="1">
      <alignment vertical="center" wrapText="1"/>
    </xf>
    <xf numFmtId="0" fontId="9" fillId="2" borderId="0" xfId="0" applyFont="1" applyFill="1" applyAlignment="1">
      <alignment horizontal="center"/>
    </xf>
    <xf numFmtId="0" fontId="9" fillId="2" borderId="0" xfId="0" applyFont="1" applyFill="1" applyAlignment="1">
      <alignment horizontal="center" vertical="center"/>
    </xf>
    <xf numFmtId="0" fontId="9" fillId="4" borderId="14" xfId="0" applyFont="1" applyFill="1" applyBorder="1" applyAlignment="1">
      <alignment vertical="center"/>
    </xf>
    <xf numFmtId="0" fontId="9" fillId="4" borderId="14" xfId="0" applyFont="1" applyFill="1" applyBorder="1"/>
    <xf numFmtId="0" fontId="9" fillId="4" borderId="14" xfId="0" applyFont="1" applyFill="1" applyBorder="1" applyAlignment="1">
      <alignment vertical="center" wrapText="1"/>
    </xf>
    <xf numFmtId="0" fontId="9" fillId="4" borderId="14" xfId="0" applyFont="1" applyFill="1" applyBorder="1" applyAlignment="1">
      <alignment horizontal="left" vertical="center"/>
    </xf>
    <xf numFmtId="0" fontId="9" fillId="0" borderId="18" xfId="0" applyFont="1" applyBorder="1" applyAlignment="1">
      <alignment horizontal="left" vertical="center" wrapText="1"/>
    </xf>
    <xf numFmtId="0" fontId="9" fillId="2" borderId="18" xfId="0" applyFont="1" applyFill="1" applyBorder="1" applyAlignment="1">
      <alignment horizontal="left" wrapText="1"/>
    </xf>
    <xf numFmtId="0" fontId="9" fillId="0" borderId="18" xfId="0" applyFont="1" applyBorder="1" applyAlignment="1">
      <alignment horizontal="left" vertical="top" wrapText="1"/>
    </xf>
    <xf numFmtId="0" fontId="11" fillId="0" borderId="18" xfId="0" applyFont="1" applyBorder="1" applyAlignment="1">
      <alignment horizontal="center" vertical="center" wrapText="1"/>
    </xf>
    <xf numFmtId="0" fontId="9" fillId="2" borderId="18" xfId="0" applyFont="1" applyFill="1" applyBorder="1" applyAlignment="1">
      <alignment horizontal="left" vertical="center" wrapText="1"/>
    </xf>
    <xf numFmtId="0" fontId="9" fillId="2" borderId="6" xfId="0" applyFont="1" applyFill="1" applyBorder="1" applyAlignment="1">
      <alignment horizontal="center" vertical="center"/>
    </xf>
    <xf numFmtId="0" fontId="9" fillId="4" borderId="23" xfId="0" applyFont="1" applyFill="1" applyBorder="1" applyAlignment="1">
      <alignment vertical="center"/>
    </xf>
    <xf numFmtId="0" fontId="9" fillId="2" borderId="6" xfId="0" applyFont="1" applyFill="1" applyBorder="1" applyAlignment="1">
      <alignment vertical="center"/>
    </xf>
    <xf numFmtId="0" fontId="9" fillId="2" borderId="23" xfId="0" applyFont="1" applyFill="1" applyBorder="1" applyAlignment="1">
      <alignment vertical="center"/>
    </xf>
    <xf numFmtId="0" fontId="9" fillId="0" borderId="24" xfId="0" applyFont="1" applyBorder="1" applyAlignment="1">
      <alignment horizontal="left" vertical="center" wrapText="1"/>
    </xf>
    <xf numFmtId="0" fontId="9" fillId="2" borderId="7" xfId="0" applyFont="1" applyFill="1" applyBorder="1"/>
    <xf numFmtId="0" fontId="9" fillId="2" borderId="9" xfId="0" applyFont="1" applyFill="1" applyBorder="1"/>
    <xf numFmtId="0" fontId="9" fillId="0" borderId="13" xfId="0" applyFont="1" applyBorder="1" applyAlignment="1">
      <alignment horizontal="center" vertical="center" wrapText="1"/>
    </xf>
    <xf numFmtId="0" fontId="9" fillId="2" borderId="2" xfId="0" applyFont="1" applyFill="1" applyBorder="1" applyAlignment="1">
      <alignment horizontal="center" vertical="center"/>
    </xf>
    <xf numFmtId="0" fontId="9" fillId="4" borderId="27" xfId="0" applyFont="1" applyFill="1" applyBorder="1" applyAlignment="1">
      <alignment vertical="center"/>
    </xf>
    <xf numFmtId="0" fontId="9" fillId="2" borderId="2" xfId="0" applyFont="1" applyFill="1" applyBorder="1" applyAlignment="1">
      <alignment vertical="center"/>
    </xf>
    <xf numFmtId="0" fontId="9" fillId="0" borderId="27" xfId="0" applyFont="1" applyBorder="1" applyAlignment="1">
      <alignment horizontal="left" vertical="center"/>
    </xf>
    <xf numFmtId="0" fontId="9" fillId="0" borderId="28" xfId="0" applyFont="1" applyBorder="1" applyAlignment="1">
      <alignment horizontal="left" vertical="center" wrapText="1"/>
    </xf>
    <xf numFmtId="0" fontId="9" fillId="2" borderId="11" xfId="0" applyFont="1" applyFill="1" applyBorder="1"/>
    <xf numFmtId="0" fontId="0" fillId="9" borderId="14" xfId="0" applyFill="1" applyBorder="1" applyAlignment="1">
      <alignment horizontal="center" vertical="top"/>
    </xf>
    <xf numFmtId="0" fontId="0" fillId="9" borderId="14" xfId="0" applyFill="1" applyBorder="1" applyAlignment="1">
      <alignment horizontal="center" vertical="center" wrapText="1"/>
    </xf>
    <xf numFmtId="0" fontId="0" fillId="9" borderId="14" xfId="0" applyFill="1" applyBorder="1" applyAlignment="1">
      <alignment horizontal="center" vertical="center"/>
    </xf>
    <xf numFmtId="0" fontId="0" fillId="2" borderId="14" xfId="0" applyFill="1" applyBorder="1" applyAlignment="1">
      <alignment horizontal="left" vertical="center" wrapText="1"/>
    </xf>
    <xf numFmtId="0" fontId="0" fillId="2" borderId="14" xfId="0" applyFill="1" applyBorder="1" applyAlignment="1">
      <alignment horizontal="center" vertical="center"/>
    </xf>
    <xf numFmtId="0" fontId="0" fillId="2" borderId="14" xfId="0" applyFill="1" applyBorder="1" applyAlignment="1">
      <alignment horizontal="center" vertical="center" wrapText="1"/>
    </xf>
    <xf numFmtId="0" fontId="0" fillId="0" borderId="14" xfId="0" applyBorder="1" applyAlignment="1">
      <alignment horizontal="center" vertical="center"/>
    </xf>
    <xf numFmtId="0" fontId="13" fillId="2" borderId="14"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0" fillId="3" borderId="14" xfId="0" applyFill="1" applyBorder="1" applyAlignment="1">
      <alignment horizontal="center" vertical="center" wrapText="1"/>
    </xf>
    <xf numFmtId="0" fontId="0" fillId="2" borderId="17" xfId="0" applyFill="1" applyBorder="1" applyAlignment="1">
      <alignment horizontal="center" vertical="center"/>
    </xf>
    <xf numFmtId="0" fontId="0" fillId="3" borderId="14" xfId="0" applyFill="1" applyBorder="1" applyAlignment="1">
      <alignment horizontal="center" vertical="center"/>
    </xf>
    <xf numFmtId="0" fontId="8" fillId="2" borderId="18" xfId="0" applyFont="1" applyFill="1" applyBorder="1" applyAlignment="1">
      <alignment horizontal="center" vertical="center"/>
    </xf>
    <xf numFmtId="0" fontId="0" fillId="0" borderId="18" xfId="0" applyBorder="1" applyAlignment="1">
      <alignment horizontal="center" vertical="center" wrapText="1"/>
    </xf>
    <xf numFmtId="0" fontId="15" fillId="0" borderId="14" xfId="0" applyFont="1" applyBorder="1" applyAlignment="1">
      <alignment horizontal="center" vertical="center"/>
    </xf>
    <xf numFmtId="0" fontId="14" fillId="0" borderId="14" xfId="0" applyFont="1" applyBorder="1" applyAlignment="1">
      <alignment horizontal="center" vertical="center"/>
    </xf>
    <xf numFmtId="0" fontId="15" fillId="0" borderId="14" xfId="0" applyFont="1" applyBorder="1" applyAlignment="1">
      <alignment horizontal="center" vertical="center" wrapText="1"/>
    </xf>
    <xf numFmtId="0" fontId="18"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wrapText="1"/>
    </xf>
    <xf numFmtId="0" fontId="0" fillId="9" borderId="14" xfId="0" applyFill="1" applyBorder="1" applyAlignment="1">
      <alignment horizontal="left" vertical="top" wrapText="1"/>
    </xf>
    <xf numFmtId="0" fontId="6" fillId="2" borderId="2" xfId="0" applyFont="1" applyFill="1" applyBorder="1" applyAlignment="1">
      <alignment horizontal="center" vertical="center"/>
    </xf>
    <xf numFmtId="0" fontId="0" fillId="2" borderId="14" xfId="0" applyFill="1" applyBorder="1"/>
    <xf numFmtId="0" fontId="0" fillId="2" borderId="14" xfId="0" applyFill="1" applyBorder="1" applyAlignment="1">
      <alignment horizontal="center"/>
    </xf>
    <xf numFmtId="0" fontId="19" fillId="8" borderId="14" xfId="0" applyFont="1" applyFill="1" applyBorder="1" applyAlignment="1">
      <alignment horizontal="center" vertical="center" wrapText="1"/>
    </xf>
    <xf numFmtId="0" fontId="19" fillId="8" borderId="14" xfId="0" applyFont="1" applyFill="1" applyBorder="1" applyAlignment="1">
      <alignment horizontal="center" vertical="center"/>
    </xf>
    <xf numFmtId="0" fontId="6" fillId="2" borderId="9" xfId="0" applyFont="1" applyFill="1" applyBorder="1" applyAlignment="1">
      <alignment horizontal="center" vertical="center"/>
    </xf>
    <xf numFmtId="0" fontId="7" fillId="7" borderId="1" xfId="1" applyFont="1" applyFill="1" applyBorder="1" applyAlignment="1">
      <alignment horizontal="center" vertical="center"/>
    </xf>
    <xf numFmtId="0" fontId="7" fillId="7" borderId="1" xfId="1" applyFont="1" applyFill="1" applyBorder="1" applyAlignment="1">
      <alignment horizontal="center" vertical="center" wrapText="1"/>
    </xf>
    <xf numFmtId="0" fontId="7" fillId="7" borderId="1" xfId="1" applyFont="1" applyFill="1" applyBorder="1" applyAlignment="1">
      <alignment vertical="center" wrapText="1"/>
    </xf>
    <xf numFmtId="0" fontId="20" fillId="2" borderId="0" xfId="0" applyFont="1" applyFill="1"/>
    <xf numFmtId="0" fontId="0" fillId="2" borderId="0" xfId="0" applyFill="1" applyAlignment="1">
      <alignment horizontal="center" wrapText="1"/>
    </xf>
    <xf numFmtId="0" fontId="0" fillId="2" borderId="14" xfId="0" applyFill="1" applyBorder="1" applyAlignment="1">
      <alignment wrapText="1"/>
    </xf>
    <xf numFmtId="0" fontId="0" fillId="2" borderId="14" xfId="0" applyFill="1" applyBorder="1" applyAlignment="1">
      <alignment horizontal="left" wrapText="1"/>
    </xf>
    <xf numFmtId="0" fontId="21" fillId="2" borderId="0" xfId="0" applyFont="1" applyFill="1"/>
    <xf numFmtId="0" fontId="21" fillId="2" borderId="0" xfId="0" applyFont="1" applyFill="1" applyAlignment="1">
      <alignment horizontal="left"/>
    </xf>
    <xf numFmtId="0" fontId="22" fillId="2" borderId="0" xfId="1" applyFont="1" applyFill="1"/>
    <xf numFmtId="0" fontId="22" fillId="2" borderId="0" xfId="1" applyFont="1" applyFill="1" applyAlignment="1">
      <alignment horizontal="center"/>
    </xf>
    <xf numFmtId="0" fontId="23" fillId="2" borderId="0" xfId="0" applyFont="1" applyFill="1"/>
    <xf numFmtId="0" fontId="0" fillId="4" borderId="1" xfId="0" applyFill="1" applyBorder="1" applyAlignment="1">
      <alignment horizontal="left"/>
    </xf>
    <xf numFmtId="0" fontId="0" fillId="0" borderId="9" xfId="0" applyBorder="1"/>
    <xf numFmtId="0" fontId="0" fillId="2" borderId="16" xfId="0" applyFill="1" applyBorder="1" applyAlignment="1">
      <alignment wrapText="1"/>
    </xf>
    <xf numFmtId="0" fontId="0" fillId="2" borderId="15" xfId="0" applyFill="1" applyBorder="1" applyAlignment="1">
      <alignment wrapText="1"/>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14" xfId="0" applyFont="1" applyFill="1" applyBorder="1" applyAlignment="1">
      <alignment horizontal="left" vertical="center"/>
    </xf>
    <xf numFmtId="0" fontId="9" fillId="4" borderId="22" xfId="0" applyFont="1" applyFill="1" applyBorder="1" applyAlignment="1">
      <alignment horizontal="center" vertical="center"/>
    </xf>
    <xf numFmtId="0" fontId="1" fillId="4" borderId="12" xfId="0" applyFont="1"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3" fillId="7" borderId="3" xfId="0" applyFont="1" applyFill="1" applyBorder="1" applyAlignment="1">
      <alignment vertical="center"/>
    </xf>
    <xf numFmtId="0" fontId="3" fillId="7" borderId="12" xfId="0" applyFont="1" applyFill="1" applyBorder="1" applyAlignment="1">
      <alignment vertical="center"/>
    </xf>
    <xf numFmtId="0" fontId="3" fillId="7" borderId="4" xfId="0" applyFont="1" applyFill="1" applyBorder="1" applyAlignment="1">
      <alignment vertical="center"/>
    </xf>
    <xf numFmtId="0" fontId="1" fillId="3" borderId="12" xfId="0" applyFont="1" applyFill="1" applyBorder="1" applyAlignment="1">
      <alignment horizontal="center" vertical="center"/>
    </xf>
    <xf numFmtId="0" fontId="1" fillId="7" borderId="3" xfId="0" applyFont="1" applyFill="1" applyBorder="1" applyAlignment="1">
      <alignment horizontal="left" vertical="center"/>
    </xf>
    <xf numFmtId="0" fontId="1" fillId="7" borderId="12" xfId="0" applyFont="1" applyFill="1" applyBorder="1" applyAlignment="1">
      <alignment horizontal="left" vertical="center"/>
    </xf>
    <xf numFmtId="0" fontId="1" fillId="7" borderId="4" xfId="0" applyFont="1" applyFill="1" applyBorder="1" applyAlignment="1">
      <alignment horizontal="left" vertical="center"/>
    </xf>
    <xf numFmtId="0" fontId="8" fillId="2" borderId="20"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0" fillId="2" borderId="14"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4" xfId="0"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123825</xdr:colOff>
      <xdr:row>4</xdr:row>
      <xdr:rowOff>18636</xdr:rowOff>
    </xdr:from>
    <xdr:to>
      <xdr:col>3</xdr:col>
      <xdr:colOff>556177</xdr:colOff>
      <xdr:row>4</xdr:row>
      <xdr:rowOff>19050</xdr:rowOff>
    </xdr:to>
    <xdr:cxnSp macro="">
      <xdr:nvCxnSpPr>
        <xdr:cNvPr id="2" name="Straight Arrow Connector 1">
          <a:extLst>
            <a:ext uri="{FF2B5EF4-FFF2-40B4-BE49-F238E27FC236}">
              <a16:creationId xmlns:a16="http://schemas.microsoft.com/office/drawing/2014/main" xmlns="" id="{00000000-0008-0000-0100-000002000000}"/>
            </a:ext>
          </a:extLst>
        </xdr:cNvPr>
        <xdr:cNvCxnSpPr/>
      </xdr:nvCxnSpPr>
      <xdr:spPr>
        <a:xfrm flipV="1">
          <a:off x="1876425" y="1199736"/>
          <a:ext cx="432352" cy="414"/>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130969</xdr:colOff>
      <xdr:row>3</xdr:row>
      <xdr:rowOff>199611</xdr:rowOff>
    </xdr:from>
    <xdr:to>
      <xdr:col>5</xdr:col>
      <xdr:colOff>544272</xdr:colOff>
      <xdr:row>4</xdr:row>
      <xdr:rowOff>0</xdr:rowOff>
    </xdr:to>
    <xdr:cxnSp macro="">
      <xdr:nvCxnSpPr>
        <xdr:cNvPr id="3" name="Straight Arrow Connector 2">
          <a:extLst>
            <a:ext uri="{FF2B5EF4-FFF2-40B4-BE49-F238E27FC236}">
              <a16:creationId xmlns:a16="http://schemas.microsoft.com/office/drawing/2014/main" xmlns="" id="{00000000-0008-0000-0100-000003000000}"/>
            </a:ext>
          </a:extLst>
        </xdr:cNvPr>
        <xdr:cNvCxnSpPr/>
      </xdr:nvCxnSpPr>
      <xdr:spPr>
        <a:xfrm flipV="1">
          <a:off x="5250657" y="1187830"/>
          <a:ext cx="413303" cy="2795"/>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xdr:colOff>
      <xdr:row>4</xdr:row>
      <xdr:rowOff>19050</xdr:rowOff>
    </xdr:from>
    <xdr:to>
      <xdr:col>7</xdr:col>
      <xdr:colOff>737981</xdr:colOff>
      <xdr:row>4</xdr:row>
      <xdr:rowOff>19050</xdr:rowOff>
    </xdr:to>
    <xdr:cxnSp macro="">
      <xdr:nvCxnSpPr>
        <xdr:cNvPr id="4" name="Straight Arrow Connector 3">
          <a:extLst>
            <a:ext uri="{FF2B5EF4-FFF2-40B4-BE49-F238E27FC236}">
              <a16:creationId xmlns:a16="http://schemas.microsoft.com/office/drawing/2014/main" xmlns="" id="{00000000-0008-0000-0100-000004000000}"/>
            </a:ext>
          </a:extLst>
        </xdr:cNvPr>
        <xdr:cNvCxnSpPr/>
      </xdr:nvCxnSpPr>
      <xdr:spPr>
        <a:xfrm>
          <a:off x="7181850" y="1200150"/>
          <a:ext cx="642731"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xdr:colOff>
      <xdr:row>9</xdr:row>
      <xdr:rowOff>342900</xdr:rowOff>
    </xdr:from>
    <xdr:to>
      <xdr:col>7</xdr:col>
      <xdr:colOff>737981</xdr:colOff>
      <xdr:row>9</xdr:row>
      <xdr:rowOff>342900</xdr:rowOff>
    </xdr:to>
    <xdr:cxnSp macro="">
      <xdr:nvCxnSpPr>
        <xdr:cNvPr id="5" name="Straight Arrow Connector 4">
          <a:extLst>
            <a:ext uri="{FF2B5EF4-FFF2-40B4-BE49-F238E27FC236}">
              <a16:creationId xmlns:a16="http://schemas.microsoft.com/office/drawing/2014/main" xmlns="" id="{00000000-0008-0000-0100-000005000000}"/>
            </a:ext>
          </a:extLst>
        </xdr:cNvPr>
        <xdr:cNvCxnSpPr/>
      </xdr:nvCxnSpPr>
      <xdr:spPr>
        <a:xfrm>
          <a:off x="7181850" y="2486025"/>
          <a:ext cx="642731"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123825</xdr:colOff>
      <xdr:row>9</xdr:row>
      <xdr:rowOff>304800</xdr:rowOff>
    </xdr:from>
    <xdr:to>
      <xdr:col>5</xdr:col>
      <xdr:colOff>566531</xdr:colOff>
      <xdr:row>9</xdr:row>
      <xdr:rowOff>304801</xdr:rowOff>
    </xdr:to>
    <xdr:cxnSp macro="">
      <xdr:nvCxnSpPr>
        <xdr:cNvPr id="6" name="Straight Arrow Connector 5">
          <a:extLst>
            <a:ext uri="{FF2B5EF4-FFF2-40B4-BE49-F238E27FC236}">
              <a16:creationId xmlns:a16="http://schemas.microsoft.com/office/drawing/2014/main" xmlns="" id="{00000000-0008-0000-0100-000006000000}"/>
            </a:ext>
          </a:extLst>
        </xdr:cNvPr>
        <xdr:cNvCxnSpPr/>
      </xdr:nvCxnSpPr>
      <xdr:spPr>
        <a:xfrm>
          <a:off x="5248275" y="2447925"/>
          <a:ext cx="442706" cy="1"/>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9</xdr:row>
      <xdr:rowOff>323850</xdr:rowOff>
    </xdr:from>
    <xdr:to>
      <xdr:col>3</xdr:col>
      <xdr:colOff>595106</xdr:colOff>
      <xdr:row>9</xdr:row>
      <xdr:rowOff>323850</xdr:rowOff>
    </xdr:to>
    <xdr:cxnSp macro="">
      <xdr:nvCxnSpPr>
        <xdr:cNvPr id="7" name="Straight Arrow Connector 6">
          <a:extLst>
            <a:ext uri="{FF2B5EF4-FFF2-40B4-BE49-F238E27FC236}">
              <a16:creationId xmlns:a16="http://schemas.microsoft.com/office/drawing/2014/main" xmlns="" id="{00000000-0008-0000-0100-000007000000}"/>
            </a:ext>
          </a:extLst>
        </xdr:cNvPr>
        <xdr:cNvCxnSpPr/>
      </xdr:nvCxnSpPr>
      <xdr:spPr>
        <a:xfrm>
          <a:off x="1847850" y="2466975"/>
          <a:ext cx="499856"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119062</xdr:colOff>
      <xdr:row>11</xdr:row>
      <xdr:rowOff>85725</xdr:rowOff>
    </xdr:from>
    <xdr:to>
      <xdr:col>5</xdr:col>
      <xdr:colOff>561768</xdr:colOff>
      <xdr:row>11</xdr:row>
      <xdr:rowOff>85726</xdr:rowOff>
    </xdr:to>
    <xdr:cxnSp macro="">
      <xdr:nvCxnSpPr>
        <xdr:cNvPr id="18" name="Straight Arrow Connector 17">
          <a:extLst>
            <a:ext uri="{FF2B5EF4-FFF2-40B4-BE49-F238E27FC236}">
              <a16:creationId xmlns:a16="http://schemas.microsoft.com/office/drawing/2014/main" xmlns="" id="{00000000-0008-0000-0100-000012000000}"/>
            </a:ext>
          </a:extLst>
        </xdr:cNvPr>
        <xdr:cNvCxnSpPr/>
      </xdr:nvCxnSpPr>
      <xdr:spPr>
        <a:xfrm>
          <a:off x="5238750" y="3038475"/>
          <a:ext cx="442706" cy="1"/>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66675</xdr:colOff>
      <xdr:row>11</xdr:row>
      <xdr:rowOff>104775</xdr:rowOff>
    </xdr:from>
    <xdr:to>
      <xdr:col>3</xdr:col>
      <xdr:colOff>566531</xdr:colOff>
      <xdr:row>11</xdr:row>
      <xdr:rowOff>104775</xdr:rowOff>
    </xdr:to>
    <xdr:cxnSp macro="">
      <xdr:nvCxnSpPr>
        <xdr:cNvPr id="19" name="Straight Arrow Connector 18">
          <a:extLst>
            <a:ext uri="{FF2B5EF4-FFF2-40B4-BE49-F238E27FC236}">
              <a16:creationId xmlns:a16="http://schemas.microsoft.com/office/drawing/2014/main" xmlns="" id="{00000000-0008-0000-0100-000013000000}"/>
            </a:ext>
          </a:extLst>
        </xdr:cNvPr>
        <xdr:cNvCxnSpPr/>
      </xdr:nvCxnSpPr>
      <xdr:spPr>
        <a:xfrm>
          <a:off x="1819275" y="3048000"/>
          <a:ext cx="499856"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13</xdr:row>
      <xdr:rowOff>85725</xdr:rowOff>
    </xdr:from>
    <xdr:to>
      <xdr:col>5</xdr:col>
      <xdr:colOff>557006</xdr:colOff>
      <xdr:row>13</xdr:row>
      <xdr:rowOff>85726</xdr:rowOff>
    </xdr:to>
    <xdr:cxnSp macro="">
      <xdr:nvCxnSpPr>
        <xdr:cNvPr id="20" name="Straight Arrow Connector 19">
          <a:extLst>
            <a:ext uri="{FF2B5EF4-FFF2-40B4-BE49-F238E27FC236}">
              <a16:creationId xmlns:a16="http://schemas.microsoft.com/office/drawing/2014/main" xmlns="" id="{00000000-0008-0000-0100-000014000000}"/>
            </a:ext>
          </a:extLst>
        </xdr:cNvPr>
        <xdr:cNvCxnSpPr/>
      </xdr:nvCxnSpPr>
      <xdr:spPr>
        <a:xfrm>
          <a:off x="5238750" y="3429000"/>
          <a:ext cx="442706" cy="1"/>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13</xdr:row>
      <xdr:rowOff>104775</xdr:rowOff>
    </xdr:from>
    <xdr:to>
      <xdr:col>3</xdr:col>
      <xdr:colOff>585581</xdr:colOff>
      <xdr:row>13</xdr:row>
      <xdr:rowOff>104775</xdr:rowOff>
    </xdr:to>
    <xdr:cxnSp macro="">
      <xdr:nvCxnSpPr>
        <xdr:cNvPr id="21" name="Straight Arrow Connector 20">
          <a:extLst>
            <a:ext uri="{FF2B5EF4-FFF2-40B4-BE49-F238E27FC236}">
              <a16:creationId xmlns:a16="http://schemas.microsoft.com/office/drawing/2014/main" xmlns="" id="{00000000-0008-0000-0100-000015000000}"/>
            </a:ext>
          </a:extLst>
        </xdr:cNvPr>
        <xdr:cNvCxnSpPr/>
      </xdr:nvCxnSpPr>
      <xdr:spPr>
        <a:xfrm>
          <a:off x="1838325" y="3448050"/>
          <a:ext cx="499856"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15</xdr:row>
      <xdr:rowOff>247650</xdr:rowOff>
    </xdr:from>
    <xdr:to>
      <xdr:col>5</xdr:col>
      <xdr:colOff>557006</xdr:colOff>
      <xdr:row>15</xdr:row>
      <xdr:rowOff>247651</xdr:rowOff>
    </xdr:to>
    <xdr:cxnSp macro="">
      <xdr:nvCxnSpPr>
        <xdr:cNvPr id="22" name="Straight Arrow Connector 21">
          <a:extLst>
            <a:ext uri="{FF2B5EF4-FFF2-40B4-BE49-F238E27FC236}">
              <a16:creationId xmlns:a16="http://schemas.microsoft.com/office/drawing/2014/main" xmlns="" id="{00000000-0008-0000-0100-000016000000}"/>
            </a:ext>
          </a:extLst>
        </xdr:cNvPr>
        <xdr:cNvCxnSpPr/>
      </xdr:nvCxnSpPr>
      <xdr:spPr>
        <a:xfrm>
          <a:off x="5238750" y="3990975"/>
          <a:ext cx="442706" cy="1"/>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15</xdr:row>
      <xdr:rowOff>266700</xdr:rowOff>
    </xdr:from>
    <xdr:to>
      <xdr:col>3</xdr:col>
      <xdr:colOff>585581</xdr:colOff>
      <xdr:row>15</xdr:row>
      <xdr:rowOff>266700</xdr:rowOff>
    </xdr:to>
    <xdr:cxnSp macro="">
      <xdr:nvCxnSpPr>
        <xdr:cNvPr id="23" name="Straight Arrow Connector 22">
          <a:extLst>
            <a:ext uri="{FF2B5EF4-FFF2-40B4-BE49-F238E27FC236}">
              <a16:creationId xmlns:a16="http://schemas.microsoft.com/office/drawing/2014/main" xmlns="" id="{00000000-0008-0000-0100-000017000000}"/>
            </a:ext>
          </a:extLst>
        </xdr:cNvPr>
        <xdr:cNvCxnSpPr/>
      </xdr:nvCxnSpPr>
      <xdr:spPr>
        <a:xfrm>
          <a:off x="1838325" y="4010025"/>
          <a:ext cx="499856"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119062</xdr:colOff>
      <xdr:row>4</xdr:row>
      <xdr:rowOff>35719</xdr:rowOff>
    </xdr:from>
    <xdr:to>
      <xdr:col>9</xdr:col>
      <xdr:colOff>359364</xdr:colOff>
      <xdr:row>4</xdr:row>
      <xdr:rowOff>35725</xdr:rowOff>
    </xdr:to>
    <xdr:cxnSp macro="">
      <xdr:nvCxnSpPr>
        <xdr:cNvPr id="24" name="Straight Arrow Connector 23">
          <a:extLst>
            <a:ext uri="{FF2B5EF4-FFF2-40B4-BE49-F238E27FC236}">
              <a16:creationId xmlns:a16="http://schemas.microsoft.com/office/drawing/2014/main" xmlns="" id="{00000000-0008-0000-0100-000018000000}"/>
            </a:ext>
          </a:extLst>
        </xdr:cNvPr>
        <xdr:cNvCxnSpPr/>
      </xdr:nvCxnSpPr>
      <xdr:spPr>
        <a:xfrm>
          <a:off x="9965531" y="1226344"/>
          <a:ext cx="240302" cy="6"/>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59530</xdr:colOff>
      <xdr:row>9</xdr:row>
      <xdr:rowOff>257180</xdr:rowOff>
    </xdr:from>
    <xdr:to>
      <xdr:col>9</xdr:col>
      <xdr:colOff>299832</xdr:colOff>
      <xdr:row>9</xdr:row>
      <xdr:rowOff>261938</xdr:rowOff>
    </xdr:to>
    <xdr:cxnSp macro="">
      <xdr:nvCxnSpPr>
        <xdr:cNvPr id="25" name="Straight Arrow Connector 24">
          <a:extLst>
            <a:ext uri="{FF2B5EF4-FFF2-40B4-BE49-F238E27FC236}">
              <a16:creationId xmlns:a16="http://schemas.microsoft.com/office/drawing/2014/main" xmlns="" id="{00000000-0008-0000-0100-000019000000}"/>
            </a:ext>
          </a:extLst>
        </xdr:cNvPr>
        <xdr:cNvCxnSpPr/>
      </xdr:nvCxnSpPr>
      <xdr:spPr>
        <a:xfrm flipV="1">
          <a:off x="9905999" y="2412211"/>
          <a:ext cx="240302" cy="4758"/>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104775</xdr:colOff>
      <xdr:row>6</xdr:row>
      <xdr:rowOff>314325</xdr:rowOff>
    </xdr:from>
    <xdr:to>
      <xdr:col>5</xdr:col>
      <xdr:colOff>592724</xdr:colOff>
      <xdr:row>6</xdr:row>
      <xdr:rowOff>314325</xdr:rowOff>
    </xdr:to>
    <xdr:cxnSp macro="">
      <xdr:nvCxnSpPr>
        <xdr:cNvPr id="36" name="Straight Arrow Connector 35">
          <a:extLst>
            <a:ext uri="{FF2B5EF4-FFF2-40B4-BE49-F238E27FC236}">
              <a16:creationId xmlns:a16="http://schemas.microsoft.com/office/drawing/2014/main" xmlns="" id="{00000000-0008-0000-0100-000024000000}"/>
            </a:ext>
          </a:extLst>
        </xdr:cNvPr>
        <xdr:cNvCxnSpPr/>
      </xdr:nvCxnSpPr>
      <xdr:spPr>
        <a:xfrm>
          <a:off x="5372100" y="50673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6</xdr:row>
      <xdr:rowOff>314325</xdr:rowOff>
    </xdr:from>
    <xdr:to>
      <xdr:col>3</xdr:col>
      <xdr:colOff>564149</xdr:colOff>
      <xdr:row>6</xdr:row>
      <xdr:rowOff>314325</xdr:rowOff>
    </xdr:to>
    <xdr:cxnSp macro="">
      <xdr:nvCxnSpPr>
        <xdr:cNvPr id="37" name="Straight Arrow Connector 36">
          <a:extLst>
            <a:ext uri="{FF2B5EF4-FFF2-40B4-BE49-F238E27FC236}">
              <a16:creationId xmlns:a16="http://schemas.microsoft.com/office/drawing/2014/main" xmlns="" id="{00000000-0008-0000-0100-000025000000}"/>
            </a:ext>
          </a:extLst>
        </xdr:cNvPr>
        <xdr:cNvCxnSpPr/>
      </xdr:nvCxnSpPr>
      <xdr:spPr>
        <a:xfrm>
          <a:off x="2390775" y="50673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6</xdr:row>
      <xdr:rowOff>304800</xdr:rowOff>
    </xdr:from>
    <xdr:to>
      <xdr:col>7</xdr:col>
      <xdr:colOff>535574</xdr:colOff>
      <xdr:row>6</xdr:row>
      <xdr:rowOff>304800</xdr:rowOff>
    </xdr:to>
    <xdr:cxnSp macro="">
      <xdr:nvCxnSpPr>
        <xdr:cNvPr id="38" name="Straight Arrow Connector 37">
          <a:extLst>
            <a:ext uri="{FF2B5EF4-FFF2-40B4-BE49-F238E27FC236}">
              <a16:creationId xmlns:a16="http://schemas.microsoft.com/office/drawing/2014/main" xmlns="" id="{00000000-0008-0000-0100-000026000000}"/>
            </a:ext>
          </a:extLst>
        </xdr:cNvPr>
        <xdr:cNvCxnSpPr/>
      </xdr:nvCxnSpPr>
      <xdr:spPr>
        <a:xfrm>
          <a:off x="8220075" y="50673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523875</xdr:colOff>
      <xdr:row>1</xdr:row>
      <xdr:rowOff>333375</xdr:rowOff>
    </xdr:from>
    <xdr:to>
      <xdr:col>4</xdr:col>
      <xdr:colOff>1011824</xdr:colOff>
      <xdr:row>1</xdr:row>
      <xdr:rowOff>333375</xdr:rowOff>
    </xdr:to>
    <xdr:cxnSp macro="">
      <xdr:nvCxnSpPr>
        <xdr:cNvPr id="2" name="Straight Arrow Connector 1">
          <a:extLst>
            <a:ext uri="{FF2B5EF4-FFF2-40B4-BE49-F238E27FC236}">
              <a16:creationId xmlns:a16="http://schemas.microsoft.com/office/drawing/2014/main" xmlns="" id="{4625ED8C-A0C0-4914-9A9D-2CA31B529DFA}"/>
            </a:ext>
          </a:extLst>
        </xdr:cNvPr>
        <xdr:cNvCxnSpPr/>
      </xdr:nvCxnSpPr>
      <xdr:spPr>
        <a:xfrm>
          <a:off x="4324350" y="571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xdr:colOff>
      <xdr:row>1</xdr:row>
      <xdr:rowOff>314325</xdr:rowOff>
    </xdr:from>
    <xdr:to>
      <xdr:col>2</xdr:col>
      <xdr:colOff>697499</xdr:colOff>
      <xdr:row>1</xdr:row>
      <xdr:rowOff>314325</xdr:rowOff>
    </xdr:to>
    <xdr:cxnSp macro="">
      <xdr:nvCxnSpPr>
        <xdr:cNvPr id="3" name="Straight Arrow Connector 2">
          <a:extLst>
            <a:ext uri="{FF2B5EF4-FFF2-40B4-BE49-F238E27FC236}">
              <a16:creationId xmlns:a16="http://schemas.microsoft.com/office/drawing/2014/main" xmlns="" id="{DCA8F9DA-7E66-40D7-8B30-9D16E98F6CA3}"/>
            </a:ext>
          </a:extLst>
        </xdr:cNvPr>
        <xdr:cNvCxnSpPr/>
      </xdr:nvCxnSpPr>
      <xdr:spPr>
        <a:xfrm>
          <a:off x="1228725" y="552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523875</xdr:colOff>
      <xdr:row>2</xdr:row>
      <xdr:rowOff>342900</xdr:rowOff>
    </xdr:from>
    <xdr:to>
      <xdr:col>4</xdr:col>
      <xdr:colOff>1011824</xdr:colOff>
      <xdr:row>2</xdr:row>
      <xdr:rowOff>342900</xdr:rowOff>
    </xdr:to>
    <xdr:cxnSp macro="">
      <xdr:nvCxnSpPr>
        <xdr:cNvPr id="4" name="Straight Arrow Connector 3">
          <a:extLst>
            <a:ext uri="{FF2B5EF4-FFF2-40B4-BE49-F238E27FC236}">
              <a16:creationId xmlns:a16="http://schemas.microsoft.com/office/drawing/2014/main" xmlns="" id="{A8F0E972-5274-49A8-91DD-C417FCE85994}"/>
            </a:ext>
          </a:extLst>
        </xdr:cNvPr>
        <xdr:cNvCxnSpPr/>
      </xdr:nvCxnSpPr>
      <xdr:spPr>
        <a:xfrm>
          <a:off x="4324350" y="12287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xdr:colOff>
      <xdr:row>2</xdr:row>
      <xdr:rowOff>323850</xdr:rowOff>
    </xdr:from>
    <xdr:to>
      <xdr:col>2</xdr:col>
      <xdr:colOff>697499</xdr:colOff>
      <xdr:row>2</xdr:row>
      <xdr:rowOff>323850</xdr:rowOff>
    </xdr:to>
    <xdr:cxnSp macro="">
      <xdr:nvCxnSpPr>
        <xdr:cNvPr id="5" name="Straight Arrow Connector 4">
          <a:extLst>
            <a:ext uri="{FF2B5EF4-FFF2-40B4-BE49-F238E27FC236}">
              <a16:creationId xmlns:a16="http://schemas.microsoft.com/office/drawing/2014/main" xmlns="" id="{9AC48026-EABC-401A-918A-8D36D4BF337C}"/>
            </a:ext>
          </a:extLst>
        </xdr:cNvPr>
        <xdr:cNvCxnSpPr/>
      </xdr:nvCxnSpPr>
      <xdr:spPr>
        <a:xfrm>
          <a:off x="1228725" y="12096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3</xdr:row>
      <xdr:rowOff>152400</xdr:rowOff>
    </xdr:from>
    <xdr:to>
      <xdr:col>4</xdr:col>
      <xdr:colOff>1021349</xdr:colOff>
      <xdr:row>3</xdr:row>
      <xdr:rowOff>152400</xdr:rowOff>
    </xdr:to>
    <xdr:cxnSp macro="">
      <xdr:nvCxnSpPr>
        <xdr:cNvPr id="6" name="Straight Arrow Connector 5">
          <a:extLst>
            <a:ext uri="{FF2B5EF4-FFF2-40B4-BE49-F238E27FC236}">
              <a16:creationId xmlns:a16="http://schemas.microsoft.com/office/drawing/2014/main" xmlns="" id="{39882489-3BFA-436D-9EED-3E3100F65E18}"/>
            </a:ext>
          </a:extLst>
        </xdr:cNvPr>
        <xdr:cNvCxnSpPr/>
      </xdr:nvCxnSpPr>
      <xdr:spPr>
        <a:xfrm>
          <a:off x="4333875" y="18478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219075</xdr:colOff>
      <xdr:row>3</xdr:row>
      <xdr:rowOff>133350</xdr:rowOff>
    </xdr:from>
    <xdr:to>
      <xdr:col>2</xdr:col>
      <xdr:colOff>707024</xdr:colOff>
      <xdr:row>3</xdr:row>
      <xdr:rowOff>133350</xdr:rowOff>
    </xdr:to>
    <xdr:cxnSp macro="">
      <xdr:nvCxnSpPr>
        <xdr:cNvPr id="7" name="Straight Arrow Connector 6">
          <a:extLst>
            <a:ext uri="{FF2B5EF4-FFF2-40B4-BE49-F238E27FC236}">
              <a16:creationId xmlns:a16="http://schemas.microsoft.com/office/drawing/2014/main" xmlns="" id="{85126412-FB11-4CC1-9D9F-7EB8C7825D3B}"/>
            </a:ext>
          </a:extLst>
        </xdr:cNvPr>
        <xdr:cNvCxnSpPr/>
      </xdr:nvCxnSpPr>
      <xdr:spPr>
        <a:xfrm>
          <a:off x="1238250" y="18288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514350</xdr:colOff>
      <xdr:row>4</xdr:row>
      <xdr:rowOff>457200</xdr:rowOff>
    </xdr:from>
    <xdr:to>
      <xdr:col>4</xdr:col>
      <xdr:colOff>1002299</xdr:colOff>
      <xdr:row>4</xdr:row>
      <xdr:rowOff>457200</xdr:rowOff>
    </xdr:to>
    <xdr:cxnSp macro="">
      <xdr:nvCxnSpPr>
        <xdr:cNvPr id="8" name="Straight Arrow Connector 7">
          <a:extLst>
            <a:ext uri="{FF2B5EF4-FFF2-40B4-BE49-F238E27FC236}">
              <a16:creationId xmlns:a16="http://schemas.microsoft.com/office/drawing/2014/main" xmlns="" id="{41E1F634-747F-4E82-8537-032C3366B0D2}"/>
            </a:ext>
          </a:extLst>
        </xdr:cNvPr>
        <xdr:cNvCxnSpPr/>
      </xdr:nvCxnSpPr>
      <xdr:spPr>
        <a:xfrm>
          <a:off x="4314825" y="2476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200025</xdr:colOff>
      <xdr:row>4</xdr:row>
      <xdr:rowOff>438150</xdr:rowOff>
    </xdr:from>
    <xdr:to>
      <xdr:col>2</xdr:col>
      <xdr:colOff>687974</xdr:colOff>
      <xdr:row>4</xdr:row>
      <xdr:rowOff>438150</xdr:rowOff>
    </xdr:to>
    <xdr:cxnSp macro="">
      <xdr:nvCxnSpPr>
        <xdr:cNvPr id="9" name="Straight Arrow Connector 8">
          <a:extLst>
            <a:ext uri="{FF2B5EF4-FFF2-40B4-BE49-F238E27FC236}">
              <a16:creationId xmlns:a16="http://schemas.microsoft.com/office/drawing/2014/main" xmlns="" id="{97AAEB9D-B4C9-4E36-BD21-22FE557609F9}"/>
            </a:ext>
          </a:extLst>
        </xdr:cNvPr>
        <xdr:cNvCxnSpPr/>
      </xdr:nvCxnSpPr>
      <xdr:spPr>
        <a:xfrm>
          <a:off x="1219200" y="2457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523875</xdr:colOff>
      <xdr:row>5</xdr:row>
      <xdr:rowOff>85725</xdr:rowOff>
    </xdr:from>
    <xdr:to>
      <xdr:col>4</xdr:col>
      <xdr:colOff>1011824</xdr:colOff>
      <xdr:row>5</xdr:row>
      <xdr:rowOff>85725</xdr:rowOff>
    </xdr:to>
    <xdr:cxnSp macro="">
      <xdr:nvCxnSpPr>
        <xdr:cNvPr id="10" name="Straight Arrow Connector 9">
          <a:extLst>
            <a:ext uri="{FF2B5EF4-FFF2-40B4-BE49-F238E27FC236}">
              <a16:creationId xmlns:a16="http://schemas.microsoft.com/office/drawing/2014/main" xmlns="" id="{F4552291-1D33-4094-974D-3B31B90A9E76}"/>
            </a:ext>
          </a:extLst>
        </xdr:cNvPr>
        <xdr:cNvCxnSpPr/>
      </xdr:nvCxnSpPr>
      <xdr:spPr>
        <a:xfrm>
          <a:off x="4324350" y="30765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xdr:colOff>
      <xdr:row>5</xdr:row>
      <xdr:rowOff>66675</xdr:rowOff>
    </xdr:from>
    <xdr:to>
      <xdr:col>2</xdr:col>
      <xdr:colOff>697499</xdr:colOff>
      <xdr:row>5</xdr:row>
      <xdr:rowOff>66675</xdr:rowOff>
    </xdr:to>
    <xdr:cxnSp macro="">
      <xdr:nvCxnSpPr>
        <xdr:cNvPr id="11" name="Straight Arrow Connector 10">
          <a:extLst>
            <a:ext uri="{FF2B5EF4-FFF2-40B4-BE49-F238E27FC236}">
              <a16:creationId xmlns:a16="http://schemas.microsoft.com/office/drawing/2014/main" xmlns="" id="{1ECC66D2-DE6E-4A4E-8216-C1BDEBBAA073}"/>
            </a:ext>
          </a:extLst>
        </xdr:cNvPr>
        <xdr:cNvCxnSpPr/>
      </xdr:nvCxnSpPr>
      <xdr:spPr>
        <a:xfrm>
          <a:off x="1228725" y="30575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6</xdr:row>
      <xdr:rowOff>857250</xdr:rowOff>
    </xdr:from>
    <xdr:to>
      <xdr:col>4</xdr:col>
      <xdr:colOff>992774</xdr:colOff>
      <xdr:row>6</xdr:row>
      <xdr:rowOff>857250</xdr:rowOff>
    </xdr:to>
    <xdr:cxnSp macro="">
      <xdr:nvCxnSpPr>
        <xdr:cNvPr id="12" name="Straight Arrow Connector 11">
          <a:extLst>
            <a:ext uri="{FF2B5EF4-FFF2-40B4-BE49-F238E27FC236}">
              <a16:creationId xmlns:a16="http://schemas.microsoft.com/office/drawing/2014/main" xmlns="" id="{8D84B8F4-B972-480F-89F5-04C3D48235A7}"/>
            </a:ext>
          </a:extLst>
        </xdr:cNvPr>
        <xdr:cNvCxnSpPr/>
      </xdr:nvCxnSpPr>
      <xdr:spPr>
        <a:xfrm>
          <a:off x="4305300" y="40100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838200</xdr:rowOff>
    </xdr:from>
    <xdr:to>
      <xdr:col>2</xdr:col>
      <xdr:colOff>678449</xdr:colOff>
      <xdr:row>6</xdr:row>
      <xdr:rowOff>838200</xdr:rowOff>
    </xdr:to>
    <xdr:cxnSp macro="">
      <xdr:nvCxnSpPr>
        <xdr:cNvPr id="13" name="Straight Arrow Connector 12">
          <a:extLst>
            <a:ext uri="{FF2B5EF4-FFF2-40B4-BE49-F238E27FC236}">
              <a16:creationId xmlns:a16="http://schemas.microsoft.com/office/drawing/2014/main" xmlns="" id="{FFE701D1-8CE8-4EA9-BCE6-B4A18C0E4A4E}"/>
            </a:ext>
          </a:extLst>
        </xdr:cNvPr>
        <xdr:cNvCxnSpPr/>
      </xdr:nvCxnSpPr>
      <xdr:spPr>
        <a:xfrm>
          <a:off x="1209675" y="39909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552450</xdr:colOff>
      <xdr:row>8</xdr:row>
      <xdr:rowOff>523875</xdr:rowOff>
    </xdr:from>
    <xdr:to>
      <xdr:col>4</xdr:col>
      <xdr:colOff>1040399</xdr:colOff>
      <xdr:row>8</xdr:row>
      <xdr:rowOff>523875</xdr:rowOff>
    </xdr:to>
    <xdr:cxnSp macro="">
      <xdr:nvCxnSpPr>
        <xdr:cNvPr id="16" name="Straight Arrow Connector 15">
          <a:extLst>
            <a:ext uri="{FF2B5EF4-FFF2-40B4-BE49-F238E27FC236}">
              <a16:creationId xmlns:a16="http://schemas.microsoft.com/office/drawing/2014/main" xmlns="" id="{F513833B-FD7B-4957-9A47-FB125EF3A5A6}"/>
            </a:ext>
          </a:extLst>
        </xdr:cNvPr>
        <xdr:cNvCxnSpPr/>
      </xdr:nvCxnSpPr>
      <xdr:spPr>
        <a:xfrm>
          <a:off x="4352925" y="6267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238125</xdr:colOff>
      <xdr:row>8</xdr:row>
      <xdr:rowOff>504825</xdr:rowOff>
    </xdr:from>
    <xdr:to>
      <xdr:col>2</xdr:col>
      <xdr:colOff>726074</xdr:colOff>
      <xdr:row>8</xdr:row>
      <xdr:rowOff>504825</xdr:rowOff>
    </xdr:to>
    <xdr:cxnSp macro="">
      <xdr:nvCxnSpPr>
        <xdr:cNvPr id="17" name="Straight Arrow Connector 16">
          <a:extLst>
            <a:ext uri="{FF2B5EF4-FFF2-40B4-BE49-F238E27FC236}">
              <a16:creationId xmlns:a16="http://schemas.microsoft.com/office/drawing/2014/main" xmlns="" id="{AC6A888D-5DB5-4B50-A381-4DE7815198B1}"/>
            </a:ext>
          </a:extLst>
        </xdr:cNvPr>
        <xdr:cNvCxnSpPr/>
      </xdr:nvCxnSpPr>
      <xdr:spPr>
        <a:xfrm>
          <a:off x="1257300" y="62484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552450</xdr:colOff>
      <xdr:row>9</xdr:row>
      <xdr:rowOff>742950</xdr:rowOff>
    </xdr:from>
    <xdr:to>
      <xdr:col>4</xdr:col>
      <xdr:colOff>1040399</xdr:colOff>
      <xdr:row>9</xdr:row>
      <xdr:rowOff>742950</xdr:rowOff>
    </xdr:to>
    <xdr:cxnSp macro="">
      <xdr:nvCxnSpPr>
        <xdr:cNvPr id="18" name="Straight Arrow Connector 17">
          <a:extLst>
            <a:ext uri="{FF2B5EF4-FFF2-40B4-BE49-F238E27FC236}">
              <a16:creationId xmlns:a16="http://schemas.microsoft.com/office/drawing/2014/main" xmlns="" id="{6D1C622E-6AF7-4DAD-85BF-D50C35F9D2B3}"/>
            </a:ext>
          </a:extLst>
        </xdr:cNvPr>
        <xdr:cNvCxnSpPr/>
      </xdr:nvCxnSpPr>
      <xdr:spPr>
        <a:xfrm>
          <a:off x="4352925" y="74580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238125</xdr:colOff>
      <xdr:row>9</xdr:row>
      <xdr:rowOff>723900</xdr:rowOff>
    </xdr:from>
    <xdr:to>
      <xdr:col>2</xdr:col>
      <xdr:colOff>726074</xdr:colOff>
      <xdr:row>9</xdr:row>
      <xdr:rowOff>723900</xdr:rowOff>
    </xdr:to>
    <xdr:cxnSp macro="">
      <xdr:nvCxnSpPr>
        <xdr:cNvPr id="19" name="Straight Arrow Connector 18">
          <a:extLst>
            <a:ext uri="{FF2B5EF4-FFF2-40B4-BE49-F238E27FC236}">
              <a16:creationId xmlns:a16="http://schemas.microsoft.com/office/drawing/2014/main" xmlns="" id="{838B745F-7C67-469E-86CA-6CCDC31737AD}"/>
            </a:ext>
          </a:extLst>
        </xdr:cNvPr>
        <xdr:cNvCxnSpPr/>
      </xdr:nvCxnSpPr>
      <xdr:spPr>
        <a:xfrm>
          <a:off x="1257300" y="74390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10</xdr:row>
      <xdr:rowOff>571500</xdr:rowOff>
    </xdr:from>
    <xdr:to>
      <xdr:col>4</xdr:col>
      <xdr:colOff>1021349</xdr:colOff>
      <xdr:row>10</xdr:row>
      <xdr:rowOff>571500</xdr:rowOff>
    </xdr:to>
    <xdr:cxnSp macro="">
      <xdr:nvCxnSpPr>
        <xdr:cNvPr id="20" name="Straight Arrow Connector 19">
          <a:extLst>
            <a:ext uri="{FF2B5EF4-FFF2-40B4-BE49-F238E27FC236}">
              <a16:creationId xmlns:a16="http://schemas.microsoft.com/office/drawing/2014/main" xmlns="" id="{51474076-9B11-42BA-BBD8-E646F385CBC5}"/>
            </a:ext>
          </a:extLst>
        </xdr:cNvPr>
        <xdr:cNvCxnSpPr/>
      </xdr:nvCxnSpPr>
      <xdr:spPr>
        <a:xfrm>
          <a:off x="4333875" y="87439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219075</xdr:colOff>
      <xdr:row>10</xdr:row>
      <xdr:rowOff>552450</xdr:rowOff>
    </xdr:from>
    <xdr:to>
      <xdr:col>2</xdr:col>
      <xdr:colOff>707024</xdr:colOff>
      <xdr:row>10</xdr:row>
      <xdr:rowOff>552450</xdr:rowOff>
    </xdr:to>
    <xdr:cxnSp macro="">
      <xdr:nvCxnSpPr>
        <xdr:cNvPr id="21" name="Straight Arrow Connector 20">
          <a:extLst>
            <a:ext uri="{FF2B5EF4-FFF2-40B4-BE49-F238E27FC236}">
              <a16:creationId xmlns:a16="http://schemas.microsoft.com/office/drawing/2014/main" xmlns="" id="{A5D38135-1AC5-4D93-8653-F2267A4F8A09}"/>
            </a:ext>
          </a:extLst>
        </xdr:cNvPr>
        <xdr:cNvCxnSpPr/>
      </xdr:nvCxnSpPr>
      <xdr:spPr>
        <a:xfrm>
          <a:off x="1238250" y="87249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390525</xdr:colOff>
      <xdr:row>16</xdr:row>
      <xdr:rowOff>390525</xdr:rowOff>
    </xdr:from>
    <xdr:to>
      <xdr:col>4</xdr:col>
      <xdr:colOff>878474</xdr:colOff>
      <xdr:row>16</xdr:row>
      <xdr:rowOff>390525</xdr:rowOff>
    </xdr:to>
    <xdr:cxnSp macro="">
      <xdr:nvCxnSpPr>
        <xdr:cNvPr id="22" name="Straight Arrow Connector 21">
          <a:extLst>
            <a:ext uri="{FF2B5EF4-FFF2-40B4-BE49-F238E27FC236}">
              <a16:creationId xmlns:a16="http://schemas.microsoft.com/office/drawing/2014/main" xmlns="" id="{48CBBCA9-E70D-4E99-824D-E1020346027F}"/>
            </a:ext>
          </a:extLst>
        </xdr:cNvPr>
        <xdr:cNvCxnSpPr/>
      </xdr:nvCxnSpPr>
      <xdr:spPr>
        <a:xfrm>
          <a:off x="4191000" y="158496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16</xdr:row>
      <xdr:rowOff>371475</xdr:rowOff>
    </xdr:from>
    <xdr:to>
      <xdr:col>2</xdr:col>
      <xdr:colOff>564149</xdr:colOff>
      <xdr:row>16</xdr:row>
      <xdr:rowOff>371475</xdr:rowOff>
    </xdr:to>
    <xdr:cxnSp macro="">
      <xdr:nvCxnSpPr>
        <xdr:cNvPr id="23" name="Straight Arrow Connector 22">
          <a:extLst>
            <a:ext uri="{FF2B5EF4-FFF2-40B4-BE49-F238E27FC236}">
              <a16:creationId xmlns:a16="http://schemas.microsoft.com/office/drawing/2014/main" xmlns="" id="{B4D1373C-674D-46E1-A9BD-2DCB1DD9CC6A}"/>
            </a:ext>
          </a:extLst>
        </xdr:cNvPr>
        <xdr:cNvCxnSpPr/>
      </xdr:nvCxnSpPr>
      <xdr:spPr>
        <a:xfrm>
          <a:off x="1095375" y="158305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17</xdr:row>
      <xdr:rowOff>19050</xdr:rowOff>
    </xdr:from>
    <xdr:to>
      <xdr:col>4</xdr:col>
      <xdr:colOff>802274</xdr:colOff>
      <xdr:row>17</xdr:row>
      <xdr:rowOff>19050</xdr:rowOff>
    </xdr:to>
    <xdr:cxnSp macro="">
      <xdr:nvCxnSpPr>
        <xdr:cNvPr id="24" name="Straight Arrow Connector 23">
          <a:extLst>
            <a:ext uri="{FF2B5EF4-FFF2-40B4-BE49-F238E27FC236}">
              <a16:creationId xmlns:a16="http://schemas.microsoft.com/office/drawing/2014/main" xmlns="" id="{3CDEBE04-D034-4526-8A89-452D699D6788}"/>
            </a:ext>
          </a:extLst>
        </xdr:cNvPr>
        <xdr:cNvCxnSpPr/>
      </xdr:nvCxnSpPr>
      <xdr:spPr>
        <a:xfrm>
          <a:off x="4114800" y="172593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17</xdr:row>
      <xdr:rowOff>0</xdr:rowOff>
    </xdr:from>
    <xdr:to>
      <xdr:col>2</xdr:col>
      <xdr:colOff>487949</xdr:colOff>
      <xdr:row>17</xdr:row>
      <xdr:rowOff>0</xdr:rowOff>
    </xdr:to>
    <xdr:cxnSp macro="">
      <xdr:nvCxnSpPr>
        <xdr:cNvPr id="25" name="Straight Arrow Connector 24">
          <a:extLst>
            <a:ext uri="{FF2B5EF4-FFF2-40B4-BE49-F238E27FC236}">
              <a16:creationId xmlns:a16="http://schemas.microsoft.com/office/drawing/2014/main" xmlns="" id="{00E44ECD-1A48-4C63-B7D5-0CC80068B876}"/>
            </a:ext>
          </a:extLst>
        </xdr:cNvPr>
        <xdr:cNvCxnSpPr/>
      </xdr:nvCxnSpPr>
      <xdr:spPr>
        <a:xfrm>
          <a:off x="1019175" y="172402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18</xdr:row>
      <xdr:rowOff>19050</xdr:rowOff>
    </xdr:from>
    <xdr:to>
      <xdr:col>4</xdr:col>
      <xdr:colOff>802274</xdr:colOff>
      <xdr:row>18</xdr:row>
      <xdr:rowOff>19050</xdr:rowOff>
    </xdr:to>
    <xdr:cxnSp macro="">
      <xdr:nvCxnSpPr>
        <xdr:cNvPr id="26" name="Straight Arrow Connector 25">
          <a:extLst>
            <a:ext uri="{FF2B5EF4-FFF2-40B4-BE49-F238E27FC236}">
              <a16:creationId xmlns:a16="http://schemas.microsoft.com/office/drawing/2014/main" xmlns="" id="{399A6433-BD4B-42BB-8D27-1DA64CE9BBC3}"/>
            </a:ext>
          </a:extLst>
        </xdr:cNvPr>
        <xdr:cNvCxnSpPr/>
      </xdr:nvCxnSpPr>
      <xdr:spPr>
        <a:xfrm>
          <a:off x="4114800" y="179070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18</xdr:row>
      <xdr:rowOff>0</xdr:rowOff>
    </xdr:from>
    <xdr:to>
      <xdr:col>2</xdr:col>
      <xdr:colOff>487949</xdr:colOff>
      <xdr:row>18</xdr:row>
      <xdr:rowOff>0</xdr:rowOff>
    </xdr:to>
    <xdr:cxnSp macro="">
      <xdr:nvCxnSpPr>
        <xdr:cNvPr id="27" name="Straight Arrow Connector 26">
          <a:extLst>
            <a:ext uri="{FF2B5EF4-FFF2-40B4-BE49-F238E27FC236}">
              <a16:creationId xmlns:a16="http://schemas.microsoft.com/office/drawing/2014/main" xmlns="" id="{40A0DD42-7B27-403C-A00F-F069DFCEB65B}"/>
            </a:ext>
          </a:extLst>
        </xdr:cNvPr>
        <xdr:cNvCxnSpPr/>
      </xdr:nvCxnSpPr>
      <xdr:spPr>
        <a:xfrm>
          <a:off x="1019175" y="178879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19</xdr:row>
      <xdr:rowOff>19050</xdr:rowOff>
    </xdr:from>
    <xdr:to>
      <xdr:col>4</xdr:col>
      <xdr:colOff>802274</xdr:colOff>
      <xdr:row>19</xdr:row>
      <xdr:rowOff>19050</xdr:rowOff>
    </xdr:to>
    <xdr:cxnSp macro="">
      <xdr:nvCxnSpPr>
        <xdr:cNvPr id="28" name="Straight Arrow Connector 27">
          <a:extLst>
            <a:ext uri="{FF2B5EF4-FFF2-40B4-BE49-F238E27FC236}">
              <a16:creationId xmlns:a16="http://schemas.microsoft.com/office/drawing/2014/main" xmlns="" id="{8C997624-5762-4443-9712-E5BC19DEFD0E}"/>
            </a:ext>
          </a:extLst>
        </xdr:cNvPr>
        <xdr:cNvCxnSpPr/>
      </xdr:nvCxnSpPr>
      <xdr:spPr>
        <a:xfrm>
          <a:off x="4114800" y="185547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19</xdr:row>
      <xdr:rowOff>0</xdr:rowOff>
    </xdr:from>
    <xdr:to>
      <xdr:col>2</xdr:col>
      <xdr:colOff>487949</xdr:colOff>
      <xdr:row>19</xdr:row>
      <xdr:rowOff>0</xdr:rowOff>
    </xdr:to>
    <xdr:cxnSp macro="">
      <xdr:nvCxnSpPr>
        <xdr:cNvPr id="29" name="Straight Arrow Connector 28">
          <a:extLst>
            <a:ext uri="{FF2B5EF4-FFF2-40B4-BE49-F238E27FC236}">
              <a16:creationId xmlns:a16="http://schemas.microsoft.com/office/drawing/2014/main" xmlns="" id="{D118EC3D-9BA1-48C4-8DC4-9D9C988B9FE2}"/>
            </a:ext>
          </a:extLst>
        </xdr:cNvPr>
        <xdr:cNvCxnSpPr/>
      </xdr:nvCxnSpPr>
      <xdr:spPr>
        <a:xfrm>
          <a:off x="1019175" y="185356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20</xdr:row>
      <xdr:rowOff>19050</xdr:rowOff>
    </xdr:from>
    <xdr:to>
      <xdr:col>4</xdr:col>
      <xdr:colOff>802274</xdr:colOff>
      <xdr:row>20</xdr:row>
      <xdr:rowOff>19050</xdr:rowOff>
    </xdr:to>
    <xdr:cxnSp macro="">
      <xdr:nvCxnSpPr>
        <xdr:cNvPr id="30" name="Straight Arrow Connector 29">
          <a:extLst>
            <a:ext uri="{FF2B5EF4-FFF2-40B4-BE49-F238E27FC236}">
              <a16:creationId xmlns:a16="http://schemas.microsoft.com/office/drawing/2014/main" xmlns="" id="{40D880F5-320C-4598-A443-27D79CA0C883}"/>
            </a:ext>
          </a:extLst>
        </xdr:cNvPr>
        <xdr:cNvCxnSpPr/>
      </xdr:nvCxnSpPr>
      <xdr:spPr>
        <a:xfrm>
          <a:off x="4114800" y="198501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20</xdr:row>
      <xdr:rowOff>0</xdr:rowOff>
    </xdr:from>
    <xdr:to>
      <xdr:col>2</xdr:col>
      <xdr:colOff>487949</xdr:colOff>
      <xdr:row>20</xdr:row>
      <xdr:rowOff>0</xdr:rowOff>
    </xdr:to>
    <xdr:cxnSp macro="">
      <xdr:nvCxnSpPr>
        <xdr:cNvPr id="31" name="Straight Arrow Connector 30">
          <a:extLst>
            <a:ext uri="{FF2B5EF4-FFF2-40B4-BE49-F238E27FC236}">
              <a16:creationId xmlns:a16="http://schemas.microsoft.com/office/drawing/2014/main" xmlns="" id="{43DE0A59-61D8-4DE1-867B-AA0165CF9033}"/>
            </a:ext>
          </a:extLst>
        </xdr:cNvPr>
        <xdr:cNvCxnSpPr/>
      </xdr:nvCxnSpPr>
      <xdr:spPr>
        <a:xfrm>
          <a:off x="1019175" y="198310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21</xdr:row>
      <xdr:rowOff>19050</xdr:rowOff>
    </xdr:from>
    <xdr:to>
      <xdr:col>4</xdr:col>
      <xdr:colOff>802274</xdr:colOff>
      <xdr:row>21</xdr:row>
      <xdr:rowOff>19050</xdr:rowOff>
    </xdr:to>
    <xdr:cxnSp macro="">
      <xdr:nvCxnSpPr>
        <xdr:cNvPr id="32" name="Straight Arrow Connector 31">
          <a:extLst>
            <a:ext uri="{FF2B5EF4-FFF2-40B4-BE49-F238E27FC236}">
              <a16:creationId xmlns:a16="http://schemas.microsoft.com/office/drawing/2014/main" xmlns="" id="{D84A6FDA-CA59-419D-9030-ECB219969DD9}"/>
            </a:ext>
          </a:extLst>
        </xdr:cNvPr>
        <xdr:cNvCxnSpPr/>
      </xdr:nvCxnSpPr>
      <xdr:spPr>
        <a:xfrm>
          <a:off x="4114800" y="206597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21</xdr:row>
      <xdr:rowOff>0</xdr:rowOff>
    </xdr:from>
    <xdr:to>
      <xdr:col>2</xdr:col>
      <xdr:colOff>487949</xdr:colOff>
      <xdr:row>21</xdr:row>
      <xdr:rowOff>0</xdr:rowOff>
    </xdr:to>
    <xdr:cxnSp macro="">
      <xdr:nvCxnSpPr>
        <xdr:cNvPr id="33" name="Straight Arrow Connector 32">
          <a:extLst>
            <a:ext uri="{FF2B5EF4-FFF2-40B4-BE49-F238E27FC236}">
              <a16:creationId xmlns:a16="http://schemas.microsoft.com/office/drawing/2014/main" xmlns="" id="{D22B3182-F688-4F84-8AA4-5D6ECE78DF43}"/>
            </a:ext>
          </a:extLst>
        </xdr:cNvPr>
        <xdr:cNvCxnSpPr/>
      </xdr:nvCxnSpPr>
      <xdr:spPr>
        <a:xfrm>
          <a:off x="1019175" y="206406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22</xdr:row>
      <xdr:rowOff>19050</xdr:rowOff>
    </xdr:from>
    <xdr:to>
      <xdr:col>4</xdr:col>
      <xdr:colOff>802274</xdr:colOff>
      <xdr:row>22</xdr:row>
      <xdr:rowOff>19050</xdr:rowOff>
    </xdr:to>
    <xdr:cxnSp macro="">
      <xdr:nvCxnSpPr>
        <xdr:cNvPr id="34" name="Straight Arrow Connector 33">
          <a:extLst>
            <a:ext uri="{FF2B5EF4-FFF2-40B4-BE49-F238E27FC236}">
              <a16:creationId xmlns:a16="http://schemas.microsoft.com/office/drawing/2014/main" xmlns="" id="{449A4F31-15F8-437C-8108-80AC1CE4E68F}"/>
            </a:ext>
          </a:extLst>
        </xdr:cNvPr>
        <xdr:cNvCxnSpPr/>
      </xdr:nvCxnSpPr>
      <xdr:spPr>
        <a:xfrm>
          <a:off x="4114800" y="21145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22</xdr:row>
      <xdr:rowOff>0</xdr:rowOff>
    </xdr:from>
    <xdr:to>
      <xdr:col>2</xdr:col>
      <xdr:colOff>487949</xdr:colOff>
      <xdr:row>22</xdr:row>
      <xdr:rowOff>0</xdr:rowOff>
    </xdr:to>
    <xdr:cxnSp macro="">
      <xdr:nvCxnSpPr>
        <xdr:cNvPr id="35" name="Straight Arrow Connector 34">
          <a:extLst>
            <a:ext uri="{FF2B5EF4-FFF2-40B4-BE49-F238E27FC236}">
              <a16:creationId xmlns:a16="http://schemas.microsoft.com/office/drawing/2014/main" xmlns="" id="{B84A12CC-E240-4891-822C-DBD853A3CD87}"/>
            </a:ext>
          </a:extLst>
        </xdr:cNvPr>
        <xdr:cNvCxnSpPr/>
      </xdr:nvCxnSpPr>
      <xdr:spPr>
        <a:xfrm>
          <a:off x="1019175" y="21126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23</xdr:row>
      <xdr:rowOff>19050</xdr:rowOff>
    </xdr:from>
    <xdr:to>
      <xdr:col>4</xdr:col>
      <xdr:colOff>802274</xdr:colOff>
      <xdr:row>23</xdr:row>
      <xdr:rowOff>19050</xdr:rowOff>
    </xdr:to>
    <xdr:cxnSp macro="">
      <xdr:nvCxnSpPr>
        <xdr:cNvPr id="36" name="Straight Arrow Connector 35">
          <a:extLst>
            <a:ext uri="{FF2B5EF4-FFF2-40B4-BE49-F238E27FC236}">
              <a16:creationId xmlns:a16="http://schemas.microsoft.com/office/drawing/2014/main" xmlns="" id="{6041DD17-E794-404E-8A8E-9BA97F59DB62}"/>
            </a:ext>
          </a:extLst>
        </xdr:cNvPr>
        <xdr:cNvCxnSpPr/>
      </xdr:nvCxnSpPr>
      <xdr:spPr>
        <a:xfrm>
          <a:off x="4114800" y="219551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23</xdr:row>
      <xdr:rowOff>0</xdr:rowOff>
    </xdr:from>
    <xdr:to>
      <xdr:col>2</xdr:col>
      <xdr:colOff>487949</xdr:colOff>
      <xdr:row>23</xdr:row>
      <xdr:rowOff>0</xdr:rowOff>
    </xdr:to>
    <xdr:cxnSp macro="">
      <xdr:nvCxnSpPr>
        <xdr:cNvPr id="37" name="Straight Arrow Connector 36">
          <a:extLst>
            <a:ext uri="{FF2B5EF4-FFF2-40B4-BE49-F238E27FC236}">
              <a16:creationId xmlns:a16="http://schemas.microsoft.com/office/drawing/2014/main" xmlns="" id="{3B2B3C1D-AC7F-4FD4-AB9F-5CF45F48125A}"/>
            </a:ext>
          </a:extLst>
        </xdr:cNvPr>
        <xdr:cNvCxnSpPr/>
      </xdr:nvCxnSpPr>
      <xdr:spPr>
        <a:xfrm>
          <a:off x="1019175" y="219360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581025</xdr:colOff>
      <xdr:row>24</xdr:row>
      <xdr:rowOff>561975</xdr:rowOff>
    </xdr:from>
    <xdr:to>
      <xdr:col>4</xdr:col>
      <xdr:colOff>1068974</xdr:colOff>
      <xdr:row>24</xdr:row>
      <xdr:rowOff>561975</xdr:rowOff>
    </xdr:to>
    <xdr:cxnSp macro="">
      <xdr:nvCxnSpPr>
        <xdr:cNvPr id="38" name="Straight Arrow Connector 37">
          <a:extLst>
            <a:ext uri="{FF2B5EF4-FFF2-40B4-BE49-F238E27FC236}">
              <a16:creationId xmlns:a16="http://schemas.microsoft.com/office/drawing/2014/main" xmlns="" id="{44267065-9A11-429C-A3CA-7747944B175D}"/>
            </a:ext>
          </a:extLst>
        </xdr:cNvPr>
        <xdr:cNvCxnSpPr/>
      </xdr:nvCxnSpPr>
      <xdr:spPr>
        <a:xfrm>
          <a:off x="4381500" y="23793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266700</xdr:colOff>
      <xdr:row>24</xdr:row>
      <xdr:rowOff>542925</xdr:rowOff>
    </xdr:from>
    <xdr:to>
      <xdr:col>2</xdr:col>
      <xdr:colOff>754649</xdr:colOff>
      <xdr:row>24</xdr:row>
      <xdr:rowOff>542925</xdr:rowOff>
    </xdr:to>
    <xdr:cxnSp macro="">
      <xdr:nvCxnSpPr>
        <xdr:cNvPr id="39" name="Straight Arrow Connector 38">
          <a:extLst>
            <a:ext uri="{FF2B5EF4-FFF2-40B4-BE49-F238E27FC236}">
              <a16:creationId xmlns:a16="http://schemas.microsoft.com/office/drawing/2014/main" xmlns="" id="{82A408DF-27B9-4382-9150-B4909D5EB4D1}"/>
            </a:ext>
          </a:extLst>
        </xdr:cNvPr>
        <xdr:cNvCxnSpPr/>
      </xdr:nvCxnSpPr>
      <xdr:spPr>
        <a:xfrm>
          <a:off x="1285875" y="237744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523875</xdr:colOff>
      <xdr:row>7</xdr:row>
      <xdr:rowOff>457200</xdr:rowOff>
    </xdr:from>
    <xdr:to>
      <xdr:col>4</xdr:col>
      <xdr:colOff>1011824</xdr:colOff>
      <xdr:row>7</xdr:row>
      <xdr:rowOff>457200</xdr:rowOff>
    </xdr:to>
    <xdr:cxnSp macro="">
      <xdr:nvCxnSpPr>
        <xdr:cNvPr id="40" name="Straight Arrow Connector 39">
          <a:extLst>
            <a:ext uri="{FF2B5EF4-FFF2-40B4-BE49-F238E27FC236}">
              <a16:creationId xmlns:a16="http://schemas.microsoft.com/office/drawing/2014/main" xmlns="" id="{98901E6F-08EA-4525-9A68-5409130DBB61}"/>
            </a:ext>
          </a:extLst>
        </xdr:cNvPr>
        <xdr:cNvCxnSpPr/>
      </xdr:nvCxnSpPr>
      <xdr:spPr>
        <a:xfrm>
          <a:off x="4324350" y="52292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xdr:colOff>
      <xdr:row>7</xdr:row>
      <xdr:rowOff>438150</xdr:rowOff>
    </xdr:from>
    <xdr:to>
      <xdr:col>2</xdr:col>
      <xdr:colOff>697499</xdr:colOff>
      <xdr:row>7</xdr:row>
      <xdr:rowOff>438150</xdr:rowOff>
    </xdr:to>
    <xdr:cxnSp macro="">
      <xdr:nvCxnSpPr>
        <xdr:cNvPr id="41" name="Straight Arrow Connector 40">
          <a:extLst>
            <a:ext uri="{FF2B5EF4-FFF2-40B4-BE49-F238E27FC236}">
              <a16:creationId xmlns:a16="http://schemas.microsoft.com/office/drawing/2014/main" xmlns="" id="{276D2399-DCC3-481B-9522-23D57B09F535}"/>
            </a:ext>
          </a:extLst>
        </xdr:cNvPr>
        <xdr:cNvCxnSpPr/>
      </xdr:nvCxnSpPr>
      <xdr:spPr>
        <a:xfrm>
          <a:off x="1228725" y="52101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466725</xdr:colOff>
      <xdr:row>11</xdr:row>
      <xdr:rowOff>1057275</xdr:rowOff>
    </xdr:from>
    <xdr:to>
      <xdr:col>4</xdr:col>
      <xdr:colOff>954674</xdr:colOff>
      <xdr:row>11</xdr:row>
      <xdr:rowOff>1057275</xdr:rowOff>
    </xdr:to>
    <xdr:cxnSp macro="">
      <xdr:nvCxnSpPr>
        <xdr:cNvPr id="42" name="Straight Arrow Connector 41">
          <a:extLst>
            <a:ext uri="{FF2B5EF4-FFF2-40B4-BE49-F238E27FC236}">
              <a16:creationId xmlns:a16="http://schemas.microsoft.com/office/drawing/2014/main" xmlns="" id="{B02D1D6E-6F19-4FE9-99F7-2F1F19DFE90E}"/>
            </a:ext>
          </a:extLst>
        </xdr:cNvPr>
        <xdr:cNvCxnSpPr/>
      </xdr:nvCxnSpPr>
      <xdr:spPr>
        <a:xfrm>
          <a:off x="4267200" y="103632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1038225</xdr:rowOff>
    </xdr:from>
    <xdr:to>
      <xdr:col>2</xdr:col>
      <xdr:colOff>640349</xdr:colOff>
      <xdr:row>11</xdr:row>
      <xdr:rowOff>1038225</xdr:rowOff>
    </xdr:to>
    <xdr:cxnSp macro="">
      <xdr:nvCxnSpPr>
        <xdr:cNvPr id="43" name="Straight Arrow Connector 42">
          <a:extLst>
            <a:ext uri="{FF2B5EF4-FFF2-40B4-BE49-F238E27FC236}">
              <a16:creationId xmlns:a16="http://schemas.microsoft.com/office/drawing/2014/main" xmlns="" id="{943A1B8F-71A7-4B6E-A172-BCBAB3394449}"/>
            </a:ext>
          </a:extLst>
        </xdr:cNvPr>
        <xdr:cNvCxnSpPr/>
      </xdr:nvCxnSpPr>
      <xdr:spPr>
        <a:xfrm>
          <a:off x="1171575" y="103441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12</xdr:row>
      <xdr:rowOff>19050</xdr:rowOff>
    </xdr:from>
    <xdr:to>
      <xdr:col>4</xdr:col>
      <xdr:colOff>802274</xdr:colOff>
      <xdr:row>12</xdr:row>
      <xdr:rowOff>19050</xdr:rowOff>
    </xdr:to>
    <xdr:cxnSp macro="">
      <xdr:nvCxnSpPr>
        <xdr:cNvPr id="44" name="Straight Arrow Connector 43">
          <a:extLst>
            <a:ext uri="{FF2B5EF4-FFF2-40B4-BE49-F238E27FC236}">
              <a16:creationId xmlns:a16="http://schemas.microsoft.com/office/drawing/2014/main" xmlns="" id="{93B7C22F-E514-40FC-A913-80FA3E0D3B5A}"/>
            </a:ext>
          </a:extLst>
        </xdr:cNvPr>
        <xdr:cNvCxnSpPr/>
      </xdr:nvCxnSpPr>
      <xdr:spPr>
        <a:xfrm>
          <a:off x="4114800" y="125634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12</xdr:row>
      <xdr:rowOff>0</xdr:rowOff>
    </xdr:from>
    <xdr:to>
      <xdr:col>2</xdr:col>
      <xdr:colOff>487949</xdr:colOff>
      <xdr:row>12</xdr:row>
      <xdr:rowOff>0</xdr:rowOff>
    </xdr:to>
    <xdr:cxnSp macro="">
      <xdr:nvCxnSpPr>
        <xdr:cNvPr id="45" name="Straight Arrow Connector 44">
          <a:extLst>
            <a:ext uri="{FF2B5EF4-FFF2-40B4-BE49-F238E27FC236}">
              <a16:creationId xmlns:a16="http://schemas.microsoft.com/office/drawing/2014/main" xmlns="" id="{DAC3BD38-C865-41B4-B4DB-6A9D82E34E41}"/>
            </a:ext>
          </a:extLst>
        </xdr:cNvPr>
        <xdr:cNvCxnSpPr/>
      </xdr:nvCxnSpPr>
      <xdr:spPr>
        <a:xfrm>
          <a:off x="1019175" y="125444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13</xdr:row>
      <xdr:rowOff>19050</xdr:rowOff>
    </xdr:from>
    <xdr:to>
      <xdr:col>4</xdr:col>
      <xdr:colOff>802274</xdr:colOff>
      <xdr:row>13</xdr:row>
      <xdr:rowOff>19050</xdr:rowOff>
    </xdr:to>
    <xdr:cxnSp macro="">
      <xdr:nvCxnSpPr>
        <xdr:cNvPr id="46" name="Straight Arrow Connector 45">
          <a:extLst>
            <a:ext uri="{FF2B5EF4-FFF2-40B4-BE49-F238E27FC236}">
              <a16:creationId xmlns:a16="http://schemas.microsoft.com/office/drawing/2014/main" xmlns="" id="{7ECE34CA-7719-4F47-9286-01508A698F21}"/>
            </a:ext>
          </a:extLst>
        </xdr:cNvPr>
        <xdr:cNvCxnSpPr/>
      </xdr:nvCxnSpPr>
      <xdr:spPr>
        <a:xfrm>
          <a:off x="4114800" y="128873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13</xdr:row>
      <xdr:rowOff>0</xdr:rowOff>
    </xdr:from>
    <xdr:to>
      <xdr:col>2</xdr:col>
      <xdr:colOff>487949</xdr:colOff>
      <xdr:row>13</xdr:row>
      <xdr:rowOff>0</xdr:rowOff>
    </xdr:to>
    <xdr:cxnSp macro="">
      <xdr:nvCxnSpPr>
        <xdr:cNvPr id="47" name="Straight Arrow Connector 46">
          <a:extLst>
            <a:ext uri="{FF2B5EF4-FFF2-40B4-BE49-F238E27FC236}">
              <a16:creationId xmlns:a16="http://schemas.microsoft.com/office/drawing/2014/main" xmlns="" id="{CABD7B0F-43AB-43DF-AB35-D39D98242625}"/>
            </a:ext>
          </a:extLst>
        </xdr:cNvPr>
        <xdr:cNvCxnSpPr/>
      </xdr:nvCxnSpPr>
      <xdr:spPr>
        <a:xfrm>
          <a:off x="1019175" y="128682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371475</xdr:colOff>
      <xdr:row>14</xdr:row>
      <xdr:rowOff>133350</xdr:rowOff>
    </xdr:from>
    <xdr:to>
      <xdr:col>4</xdr:col>
      <xdr:colOff>859424</xdr:colOff>
      <xdr:row>14</xdr:row>
      <xdr:rowOff>133350</xdr:rowOff>
    </xdr:to>
    <xdr:cxnSp macro="">
      <xdr:nvCxnSpPr>
        <xdr:cNvPr id="48" name="Straight Arrow Connector 47">
          <a:extLst>
            <a:ext uri="{FF2B5EF4-FFF2-40B4-BE49-F238E27FC236}">
              <a16:creationId xmlns:a16="http://schemas.microsoft.com/office/drawing/2014/main" xmlns="" id="{F547DCBA-7C5D-4DD1-9C97-756E64F8F031}"/>
            </a:ext>
          </a:extLst>
        </xdr:cNvPr>
        <xdr:cNvCxnSpPr/>
      </xdr:nvCxnSpPr>
      <xdr:spPr>
        <a:xfrm>
          <a:off x="4171950" y="144589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14</xdr:row>
      <xdr:rowOff>114300</xdr:rowOff>
    </xdr:from>
    <xdr:to>
      <xdr:col>2</xdr:col>
      <xdr:colOff>545099</xdr:colOff>
      <xdr:row>14</xdr:row>
      <xdr:rowOff>114300</xdr:rowOff>
    </xdr:to>
    <xdr:cxnSp macro="">
      <xdr:nvCxnSpPr>
        <xdr:cNvPr id="49" name="Straight Arrow Connector 48">
          <a:extLst>
            <a:ext uri="{FF2B5EF4-FFF2-40B4-BE49-F238E27FC236}">
              <a16:creationId xmlns:a16="http://schemas.microsoft.com/office/drawing/2014/main" xmlns="" id="{786259DE-1325-4B6C-884F-60DBDB131959}"/>
            </a:ext>
          </a:extLst>
        </xdr:cNvPr>
        <xdr:cNvCxnSpPr/>
      </xdr:nvCxnSpPr>
      <xdr:spPr>
        <a:xfrm>
          <a:off x="1076325" y="144399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25</xdr:row>
      <xdr:rowOff>590550</xdr:rowOff>
    </xdr:from>
    <xdr:to>
      <xdr:col>4</xdr:col>
      <xdr:colOff>1021349</xdr:colOff>
      <xdr:row>25</xdr:row>
      <xdr:rowOff>590550</xdr:rowOff>
    </xdr:to>
    <xdr:cxnSp macro="">
      <xdr:nvCxnSpPr>
        <xdr:cNvPr id="50" name="Straight Arrow Connector 49">
          <a:extLst>
            <a:ext uri="{FF2B5EF4-FFF2-40B4-BE49-F238E27FC236}">
              <a16:creationId xmlns:a16="http://schemas.microsoft.com/office/drawing/2014/main" xmlns="" id="{08ED253C-A432-4547-A93F-8BA7209145FC}"/>
            </a:ext>
          </a:extLst>
        </xdr:cNvPr>
        <xdr:cNvCxnSpPr/>
      </xdr:nvCxnSpPr>
      <xdr:spPr>
        <a:xfrm>
          <a:off x="4333875" y="24955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219075</xdr:colOff>
      <xdr:row>25</xdr:row>
      <xdr:rowOff>571500</xdr:rowOff>
    </xdr:from>
    <xdr:to>
      <xdr:col>2</xdr:col>
      <xdr:colOff>707024</xdr:colOff>
      <xdr:row>25</xdr:row>
      <xdr:rowOff>571500</xdr:rowOff>
    </xdr:to>
    <xdr:cxnSp macro="">
      <xdr:nvCxnSpPr>
        <xdr:cNvPr id="51" name="Straight Arrow Connector 50">
          <a:extLst>
            <a:ext uri="{FF2B5EF4-FFF2-40B4-BE49-F238E27FC236}">
              <a16:creationId xmlns:a16="http://schemas.microsoft.com/office/drawing/2014/main" xmlns="" id="{EFBE7B02-7744-4FCA-9646-F3CE2F01C45B}"/>
            </a:ext>
          </a:extLst>
        </xdr:cNvPr>
        <xdr:cNvCxnSpPr/>
      </xdr:nvCxnSpPr>
      <xdr:spPr>
        <a:xfrm>
          <a:off x="1238250" y="24936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552450</xdr:colOff>
      <xdr:row>26</xdr:row>
      <xdr:rowOff>409575</xdr:rowOff>
    </xdr:from>
    <xdr:to>
      <xdr:col>4</xdr:col>
      <xdr:colOff>1040399</xdr:colOff>
      <xdr:row>26</xdr:row>
      <xdr:rowOff>409575</xdr:rowOff>
    </xdr:to>
    <xdr:cxnSp macro="">
      <xdr:nvCxnSpPr>
        <xdr:cNvPr id="52" name="Straight Arrow Connector 51">
          <a:extLst>
            <a:ext uri="{FF2B5EF4-FFF2-40B4-BE49-F238E27FC236}">
              <a16:creationId xmlns:a16="http://schemas.microsoft.com/office/drawing/2014/main" xmlns="" id="{3463D3D9-EA5D-4319-B002-05214E750F44}"/>
            </a:ext>
          </a:extLst>
        </xdr:cNvPr>
        <xdr:cNvCxnSpPr/>
      </xdr:nvCxnSpPr>
      <xdr:spPr>
        <a:xfrm>
          <a:off x="4352925" y="260699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238125</xdr:colOff>
      <xdr:row>26</xdr:row>
      <xdr:rowOff>390525</xdr:rowOff>
    </xdr:from>
    <xdr:to>
      <xdr:col>2</xdr:col>
      <xdr:colOff>726074</xdr:colOff>
      <xdr:row>26</xdr:row>
      <xdr:rowOff>390525</xdr:rowOff>
    </xdr:to>
    <xdr:cxnSp macro="">
      <xdr:nvCxnSpPr>
        <xdr:cNvPr id="53" name="Straight Arrow Connector 52">
          <a:extLst>
            <a:ext uri="{FF2B5EF4-FFF2-40B4-BE49-F238E27FC236}">
              <a16:creationId xmlns:a16="http://schemas.microsoft.com/office/drawing/2014/main" xmlns="" id="{DAF5B378-DED3-4A50-8F68-B226F8D1EF96}"/>
            </a:ext>
          </a:extLst>
        </xdr:cNvPr>
        <xdr:cNvCxnSpPr/>
      </xdr:nvCxnSpPr>
      <xdr:spPr>
        <a:xfrm>
          <a:off x="1257300" y="260508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571500</xdr:colOff>
      <xdr:row>27</xdr:row>
      <xdr:rowOff>228600</xdr:rowOff>
    </xdr:from>
    <xdr:to>
      <xdr:col>4</xdr:col>
      <xdr:colOff>1059449</xdr:colOff>
      <xdr:row>27</xdr:row>
      <xdr:rowOff>228600</xdr:rowOff>
    </xdr:to>
    <xdr:cxnSp macro="">
      <xdr:nvCxnSpPr>
        <xdr:cNvPr id="54" name="Straight Arrow Connector 53">
          <a:extLst>
            <a:ext uri="{FF2B5EF4-FFF2-40B4-BE49-F238E27FC236}">
              <a16:creationId xmlns:a16="http://schemas.microsoft.com/office/drawing/2014/main" xmlns="" id="{513958A3-106E-4CE1-9ACE-E0A6FB5A1A63}"/>
            </a:ext>
          </a:extLst>
        </xdr:cNvPr>
        <xdr:cNvCxnSpPr/>
      </xdr:nvCxnSpPr>
      <xdr:spPr>
        <a:xfrm>
          <a:off x="4371975" y="266985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257175</xdr:colOff>
      <xdr:row>27</xdr:row>
      <xdr:rowOff>209550</xdr:rowOff>
    </xdr:from>
    <xdr:to>
      <xdr:col>2</xdr:col>
      <xdr:colOff>745124</xdr:colOff>
      <xdr:row>27</xdr:row>
      <xdr:rowOff>209550</xdr:rowOff>
    </xdr:to>
    <xdr:cxnSp macro="">
      <xdr:nvCxnSpPr>
        <xdr:cNvPr id="55" name="Straight Arrow Connector 54">
          <a:extLst>
            <a:ext uri="{FF2B5EF4-FFF2-40B4-BE49-F238E27FC236}">
              <a16:creationId xmlns:a16="http://schemas.microsoft.com/office/drawing/2014/main" xmlns="" id="{52B475B4-5D5D-49A7-B135-DD770E6701B5}"/>
            </a:ext>
          </a:extLst>
        </xdr:cNvPr>
        <xdr:cNvCxnSpPr/>
      </xdr:nvCxnSpPr>
      <xdr:spPr>
        <a:xfrm>
          <a:off x="1276350" y="266795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514350</xdr:colOff>
      <xdr:row>28</xdr:row>
      <xdr:rowOff>990600</xdr:rowOff>
    </xdr:from>
    <xdr:to>
      <xdr:col>4</xdr:col>
      <xdr:colOff>1002299</xdr:colOff>
      <xdr:row>28</xdr:row>
      <xdr:rowOff>990600</xdr:rowOff>
    </xdr:to>
    <xdr:cxnSp macro="">
      <xdr:nvCxnSpPr>
        <xdr:cNvPr id="56" name="Straight Arrow Connector 55">
          <a:extLst>
            <a:ext uri="{FF2B5EF4-FFF2-40B4-BE49-F238E27FC236}">
              <a16:creationId xmlns:a16="http://schemas.microsoft.com/office/drawing/2014/main" xmlns="" id="{4D216B11-8D2A-4C3A-9F8F-D3F4C0889447}"/>
            </a:ext>
          </a:extLst>
        </xdr:cNvPr>
        <xdr:cNvCxnSpPr/>
      </xdr:nvCxnSpPr>
      <xdr:spPr>
        <a:xfrm>
          <a:off x="4314825" y="279463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200025</xdr:colOff>
      <xdr:row>28</xdr:row>
      <xdr:rowOff>971550</xdr:rowOff>
    </xdr:from>
    <xdr:to>
      <xdr:col>2</xdr:col>
      <xdr:colOff>687974</xdr:colOff>
      <xdr:row>28</xdr:row>
      <xdr:rowOff>971550</xdr:rowOff>
    </xdr:to>
    <xdr:cxnSp macro="">
      <xdr:nvCxnSpPr>
        <xdr:cNvPr id="57" name="Straight Arrow Connector 56">
          <a:extLst>
            <a:ext uri="{FF2B5EF4-FFF2-40B4-BE49-F238E27FC236}">
              <a16:creationId xmlns:a16="http://schemas.microsoft.com/office/drawing/2014/main" xmlns="" id="{344F23C2-80B8-4B5B-84C8-C0ED7FE13D36}"/>
            </a:ext>
          </a:extLst>
        </xdr:cNvPr>
        <xdr:cNvCxnSpPr/>
      </xdr:nvCxnSpPr>
      <xdr:spPr>
        <a:xfrm>
          <a:off x="1219200" y="279273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542925</xdr:colOff>
      <xdr:row>29</xdr:row>
      <xdr:rowOff>133350</xdr:rowOff>
    </xdr:from>
    <xdr:to>
      <xdr:col>4</xdr:col>
      <xdr:colOff>1030874</xdr:colOff>
      <xdr:row>29</xdr:row>
      <xdr:rowOff>133350</xdr:rowOff>
    </xdr:to>
    <xdr:cxnSp macro="">
      <xdr:nvCxnSpPr>
        <xdr:cNvPr id="58" name="Straight Arrow Connector 57">
          <a:extLst>
            <a:ext uri="{FF2B5EF4-FFF2-40B4-BE49-F238E27FC236}">
              <a16:creationId xmlns:a16="http://schemas.microsoft.com/office/drawing/2014/main" xmlns="" id="{D7FDC0C9-C7E4-4C79-BF58-E5E75A9CF1FB}"/>
            </a:ext>
          </a:extLst>
        </xdr:cNvPr>
        <xdr:cNvCxnSpPr/>
      </xdr:nvCxnSpPr>
      <xdr:spPr>
        <a:xfrm>
          <a:off x="4343400" y="291941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228600</xdr:colOff>
      <xdr:row>29</xdr:row>
      <xdr:rowOff>114300</xdr:rowOff>
    </xdr:from>
    <xdr:to>
      <xdr:col>2</xdr:col>
      <xdr:colOff>716549</xdr:colOff>
      <xdr:row>29</xdr:row>
      <xdr:rowOff>114300</xdr:rowOff>
    </xdr:to>
    <xdr:cxnSp macro="">
      <xdr:nvCxnSpPr>
        <xdr:cNvPr id="59" name="Straight Arrow Connector 58">
          <a:extLst>
            <a:ext uri="{FF2B5EF4-FFF2-40B4-BE49-F238E27FC236}">
              <a16:creationId xmlns:a16="http://schemas.microsoft.com/office/drawing/2014/main" xmlns="" id="{93D7F399-87F0-4C51-B820-6D82773C3512}"/>
            </a:ext>
          </a:extLst>
        </xdr:cNvPr>
        <xdr:cNvCxnSpPr/>
      </xdr:nvCxnSpPr>
      <xdr:spPr>
        <a:xfrm>
          <a:off x="1247775" y="291750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571500</xdr:colOff>
      <xdr:row>30</xdr:row>
      <xdr:rowOff>904875</xdr:rowOff>
    </xdr:from>
    <xdr:to>
      <xdr:col>4</xdr:col>
      <xdr:colOff>1059449</xdr:colOff>
      <xdr:row>30</xdr:row>
      <xdr:rowOff>904875</xdr:rowOff>
    </xdr:to>
    <xdr:cxnSp macro="">
      <xdr:nvCxnSpPr>
        <xdr:cNvPr id="60" name="Straight Arrow Connector 59">
          <a:extLst>
            <a:ext uri="{FF2B5EF4-FFF2-40B4-BE49-F238E27FC236}">
              <a16:creationId xmlns:a16="http://schemas.microsoft.com/office/drawing/2014/main" xmlns="" id="{447BEC67-348F-4FA1-B75A-44CD19EF8E57}"/>
            </a:ext>
          </a:extLst>
        </xdr:cNvPr>
        <xdr:cNvCxnSpPr/>
      </xdr:nvCxnSpPr>
      <xdr:spPr>
        <a:xfrm>
          <a:off x="4371975" y="30289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257175</xdr:colOff>
      <xdr:row>30</xdr:row>
      <xdr:rowOff>885825</xdr:rowOff>
    </xdr:from>
    <xdr:to>
      <xdr:col>2</xdr:col>
      <xdr:colOff>745124</xdr:colOff>
      <xdr:row>30</xdr:row>
      <xdr:rowOff>885825</xdr:rowOff>
    </xdr:to>
    <xdr:cxnSp macro="">
      <xdr:nvCxnSpPr>
        <xdr:cNvPr id="61" name="Straight Arrow Connector 60">
          <a:extLst>
            <a:ext uri="{FF2B5EF4-FFF2-40B4-BE49-F238E27FC236}">
              <a16:creationId xmlns:a16="http://schemas.microsoft.com/office/drawing/2014/main" xmlns="" id="{7C505C21-9CC6-4D19-A24A-0F286DE71E54}"/>
            </a:ext>
          </a:extLst>
        </xdr:cNvPr>
        <xdr:cNvCxnSpPr/>
      </xdr:nvCxnSpPr>
      <xdr:spPr>
        <a:xfrm>
          <a:off x="1276350" y="302704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31</xdr:row>
      <xdr:rowOff>619125</xdr:rowOff>
    </xdr:from>
    <xdr:to>
      <xdr:col>4</xdr:col>
      <xdr:colOff>1021349</xdr:colOff>
      <xdr:row>31</xdr:row>
      <xdr:rowOff>619125</xdr:rowOff>
    </xdr:to>
    <xdr:cxnSp macro="">
      <xdr:nvCxnSpPr>
        <xdr:cNvPr id="62" name="Straight Arrow Connector 61">
          <a:extLst>
            <a:ext uri="{FF2B5EF4-FFF2-40B4-BE49-F238E27FC236}">
              <a16:creationId xmlns:a16="http://schemas.microsoft.com/office/drawing/2014/main" xmlns="" id="{26D6A9C4-4D0C-46E8-974C-E98F5DDC12F3}"/>
            </a:ext>
          </a:extLst>
        </xdr:cNvPr>
        <xdr:cNvCxnSpPr/>
      </xdr:nvCxnSpPr>
      <xdr:spPr>
        <a:xfrm>
          <a:off x="4333875" y="317849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219075</xdr:colOff>
      <xdr:row>31</xdr:row>
      <xdr:rowOff>600075</xdr:rowOff>
    </xdr:from>
    <xdr:to>
      <xdr:col>2</xdr:col>
      <xdr:colOff>707024</xdr:colOff>
      <xdr:row>31</xdr:row>
      <xdr:rowOff>600075</xdr:rowOff>
    </xdr:to>
    <xdr:cxnSp macro="">
      <xdr:nvCxnSpPr>
        <xdr:cNvPr id="63" name="Straight Arrow Connector 62">
          <a:extLst>
            <a:ext uri="{FF2B5EF4-FFF2-40B4-BE49-F238E27FC236}">
              <a16:creationId xmlns:a16="http://schemas.microsoft.com/office/drawing/2014/main" xmlns="" id="{EB58E16F-8512-4269-A962-871ABE359574}"/>
            </a:ext>
          </a:extLst>
        </xdr:cNvPr>
        <xdr:cNvCxnSpPr/>
      </xdr:nvCxnSpPr>
      <xdr:spPr>
        <a:xfrm>
          <a:off x="1238250" y="317658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85725</xdr:colOff>
      <xdr:row>2</xdr:row>
      <xdr:rowOff>371475</xdr:rowOff>
    </xdr:from>
    <xdr:to>
      <xdr:col>7</xdr:col>
      <xdr:colOff>573674</xdr:colOff>
      <xdr:row>2</xdr:row>
      <xdr:rowOff>371475</xdr:rowOff>
    </xdr:to>
    <xdr:cxnSp macro="">
      <xdr:nvCxnSpPr>
        <xdr:cNvPr id="2" name="Straight Arrow Connector 1">
          <a:extLst>
            <a:ext uri="{FF2B5EF4-FFF2-40B4-BE49-F238E27FC236}">
              <a16:creationId xmlns:a16="http://schemas.microsoft.com/office/drawing/2014/main" xmlns="" id="{00000000-0008-0000-0300-000002000000}"/>
            </a:ext>
          </a:extLst>
        </xdr:cNvPr>
        <xdr:cNvCxnSpPr/>
      </xdr:nvCxnSpPr>
      <xdr:spPr>
        <a:xfrm>
          <a:off x="8258175" y="9620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xdr:row>
      <xdr:rowOff>400050</xdr:rowOff>
    </xdr:from>
    <xdr:to>
      <xdr:col>3</xdr:col>
      <xdr:colOff>583199</xdr:colOff>
      <xdr:row>2</xdr:row>
      <xdr:rowOff>400050</xdr:rowOff>
    </xdr:to>
    <xdr:cxnSp macro="">
      <xdr:nvCxnSpPr>
        <xdr:cNvPr id="3" name="Straight Arrow Connector 2">
          <a:extLst>
            <a:ext uri="{FF2B5EF4-FFF2-40B4-BE49-F238E27FC236}">
              <a16:creationId xmlns:a16="http://schemas.microsoft.com/office/drawing/2014/main" xmlns="" id="{00000000-0008-0000-0300-000003000000}"/>
            </a:ext>
          </a:extLst>
        </xdr:cNvPr>
        <xdr:cNvCxnSpPr/>
      </xdr:nvCxnSpPr>
      <xdr:spPr>
        <a:xfrm>
          <a:off x="2409825" y="9906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104775</xdr:colOff>
      <xdr:row>7</xdr:row>
      <xdr:rowOff>0</xdr:rowOff>
    </xdr:from>
    <xdr:to>
      <xdr:col>5</xdr:col>
      <xdr:colOff>592724</xdr:colOff>
      <xdr:row>7</xdr:row>
      <xdr:rowOff>0</xdr:rowOff>
    </xdr:to>
    <xdr:cxnSp macro="">
      <xdr:nvCxnSpPr>
        <xdr:cNvPr id="4" name="Straight Arrow Connector 3">
          <a:extLst>
            <a:ext uri="{FF2B5EF4-FFF2-40B4-BE49-F238E27FC236}">
              <a16:creationId xmlns:a16="http://schemas.microsoft.com/office/drawing/2014/main" xmlns="" id="{00000000-0008-0000-0300-000004000000}"/>
            </a:ext>
          </a:extLst>
        </xdr:cNvPr>
        <xdr:cNvCxnSpPr/>
      </xdr:nvCxnSpPr>
      <xdr:spPr>
        <a:xfrm>
          <a:off x="5267325" y="15906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7</xdr:row>
      <xdr:rowOff>0</xdr:rowOff>
    </xdr:from>
    <xdr:to>
      <xdr:col>3</xdr:col>
      <xdr:colOff>564149</xdr:colOff>
      <xdr:row>7</xdr:row>
      <xdr:rowOff>0</xdr:rowOff>
    </xdr:to>
    <xdr:cxnSp macro="">
      <xdr:nvCxnSpPr>
        <xdr:cNvPr id="5" name="Straight Arrow Connector 4">
          <a:extLst>
            <a:ext uri="{FF2B5EF4-FFF2-40B4-BE49-F238E27FC236}">
              <a16:creationId xmlns:a16="http://schemas.microsoft.com/office/drawing/2014/main" xmlns="" id="{00000000-0008-0000-0300-000005000000}"/>
            </a:ext>
          </a:extLst>
        </xdr:cNvPr>
        <xdr:cNvCxnSpPr/>
      </xdr:nvCxnSpPr>
      <xdr:spPr>
        <a:xfrm>
          <a:off x="2390775" y="15906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104775</xdr:colOff>
      <xdr:row>11</xdr:row>
      <xdr:rowOff>257175</xdr:rowOff>
    </xdr:from>
    <xdr:to>
      <xdr:col>5</xdr:col>
      <xdr:colOff>592724</xdr:colOff>
      <xdr:row>11</xdr:row>
      <xdr:rowOff>257175</xdr:rowOff>
    </xdr:to>
    <xdr:cxnSp macro="">
      <xdr:nvCxnSpPr>
        <xdr:cNvPr id="6" name="Straight Arrow Connector 5">
          <a:extLst>
            <a:ext uri="{FF2B5EF4-FFF2-40B4-BE49-F238E27FC236}">
              <a16:creationId xmlns:a16="http://schemas.microsoft.com/office/drawing/2014/main" xmlns="" id="{00000000-0008-0000-0300-000006000000}"/>
            </a:ext>
          </a:extLst>
        </xdr:cNvPr>
        <xdr:cNvCxnSpPr/>
      </xdr:nvCxnSpPr>
      <xdr:spPr>
        <a:xfrm>
          <a:off x="5267325" y="29432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11</xdr:row>
      <xdr:rowOff>257175</xdr:rowOff>
    </xdr:from>
    <xdr:to>
      <xdr:col>3</xdr:col>
      <xdr:colOff>564149</xdr:colOff>
      <xdr:row>11</xdr:row>
      <xdr:rowOff>257175</xdr:rowOff>
    </xdr:to>
    <xdr:cxnSp macro="">
      <xdr:nvCxnSpPr>
        <xdr:cNvPr id="7" name="Straight Arrow Connector 6">
          <a:extLst>
            <a:ext uri="{FF2B5EF4-FFF2-40B4-BE49-F238E27FC236}">
              <a16:creationId xmlns:a16="http://schemas.microsoft.com/office/drawing/2014/main" xmlns="" id="{00000000-0008-0000-0300-000007000000}"/>
            </a:ext>
          </a:extLst>
        </xdr:cNvPr>
        <xdr:cNvCxnSpPr/>
      </xdr:nvCxnSpPr>
      <xdr:spPr>
        <a:xfrm>
          <a:off x="2390775" y="29432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104775</xdr:colOff>
      <xdr:row>14</xdr:row>
      <xdr:rowOff>180975</xdr:rowOff>
    </xdr:from>
    <xdr:to>
      <xdr:col>5</xdr:col>
      <xdr:colOff>592724</xdr:colOff>
      <xdr:row>14</xdr:row>
      <xdr:rowOff>180975</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a:off x="5267325" y="38766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14</xdr:row>
      <xdr:rowOff>180975</xdr:rowOff>
    </xdr:from>
    <xdr:to>
      <xdr:col>3</xdr:col>
      <xdr:colOff>564149</xdr:colOff>
      <xdr:row>14</xdr:row>
      <xdr:rowOff>180975</xdr:rowOff>
    </xdr:to>
    <xdr:cxnSp macro="">
      <xdr:nvCxnSpPr>
        <xdr:cNvPr id="9" name="Straight Arrow Connector 8">
          <a:extLst>
            <a:ext uri="{FF2B5EF4-FFF2-40B4-BE49-F238E27FC236}">
              <a16:creationId xmlns:a16="http://schemas.microsoft.com/office/drawing/2014/main" xmlns="" id="{00000000-0008-0000-0300-000009000000}"/>
            </a:ext>
          </a:extLst>
        </xdr:cNvPr>
        <xdr:cNvCxnSpPr/>
      </xdr:nvCxnSpPr>
      <xdr:spPr>
        <a:xfrm>
          <a:off x="2390775" y="38766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19</xdr:row>
      <xdr:rowOff>180975</xdr:rowOff>
    </xdr:from>
    <xdr:to>
      <xdr:col>5</xdr:col>
      <xdr:colOff>602249</xdr:colOff>
      <xdr:row>19</xdr:row>
      <xdr:rowOff>180975</xdr:rowOff>
    </xdr:to>
    <xdr:cxnSp macro="">
      <xdr:nvCxnSpPr>
        <xdr:cNvPr id="12" name="Straight Arrow Connector 11">
          <a:extLst>
            <a:ext uri="{FF2B5EF4-FFF2-40B4-BE49-F238E27FC236}">
              <a16:creationId xmlns:a16="http://schemas.microsoft.com/office/drawing/2014/main" xmlns="" id="{00000000-0008-0000-0300-00000C000000}"/>
            </a:ext>
          </a:extLst>
        </xdr:cNvPr>
        <xdr:cNvCxnSpPr/>
      </xdr:nvCxnSpPr>
      <xdr:spPr>
        <a:xfrm>
          <a:off x="5276850" y="52578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19</xdr:row>
      <xdr:rowOff>180975</xdr:rowOff>
    </xdr:from>
    <xdr:to>
      <xdr:col>3</xdr:col>
      <xdr:colOff>573674</xdr:colOff>
      <xdr:row>19</xdr:row>
      <xdr:rowOff>180975</xdr:rowOff>
    </xdr:to>
    <xdr:cxnSp macro="">
      <xdr:nvCxnSpPr>
        <xdr:cNvPr id="13" name="Straight Arrow Connector 12">
          <a:extLst>
            <a:ext uri="{FF2B5EF4-FFF2-40B4-BE49-F238E27FC236}">
              <a16:creationId xmlns:a16="http://schemas.microsoft.com/office/drawing/2014/main" xmlns="" id="{00000000-0008-0000-0300-00000D000000}"/>
            </a:ext>
          </a:extLst>
        </xdr:cNvPr>
        <xdr:cNvCxnSpPr/>
      </xdr:nvCxnSpPr>
      <xdr:spPr>
        <a:xfrm>
          <a:off x="2400300" y="52578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6</xdr:row>
      <xdr:rowOff>190500</xdr:rowOff>
    </xdr:from>
    <xdr:to>
      <xdr:col>7</xdr:col>
      <xdr:colOff>535574</xdr:colOff>
      <xdr:row>6</xdr:row>
      <xdr:rowOff>190500</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a:off x="8115300" y="15811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11</xdr:row>
      <xdr:rowOff>247650</xdr:rowOff>
    </xdr:from>
    <xdr:to>
      <xdr:col>7</xdr:col>
      <xdr:colOff>535574</xdr:colOff>
      <xdr:row>11</xdr:row>
      <xdr:rowOff>247650</xdr:rowOff>
    </xdr:to>
    <xdr:cxnSp macro="">
      <xdr:nvCxnSpPr>
        <xdr:cNvPr id="15" name="Straight Arrow Connector 14">
          <a:extLst>
            <a:ext uri="{FF2B5EF4-FFF2-40B4-BE49-F238E27FC236}">
              <a16:creationId xmlns:a16="http://schemas.microsoft.com/office/drawing/2014/main" xmlns="" id="{00000000-0008-0000-0300-00000F000000}"/>
            </a:ext>
          </a:extLst>
        </xdr:cNvPr>
        <xdr:cNvCxnSpPr/>
      </xdr:nvCxnSpPr>
      <xdr:spPr>
        <a:xfrm>
          <a:off x="8115300" y="29622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2</xdr:row>
      <xdr:rowOff>390525</xdr:rowOff>
    </xdr:from>
    <xdr:to>
      <xdr:col>5</xdr:col>
      <xdr:colOff>649874</xdr:colOff>
      <xdr:row>2</xdr:row>
      <xdr:rowOff>390525</xdr:rowOff>
    </xdr:to>
    <xdr:cxnSp macro="">
      <xdr:nvCxnSpPr>
        <xdr:cNvPr id="17" name="Straight Arrow Connector 16">
          <a:extLst>
            <a:ext uri="{FF2B5EF4-FFF2-40B4-BE49-F238E27FC236}">
              <a16:creationId xmlns:a16="http://schemas.microsoft.com/office/drawing/2014/main" xmlns="" id="{00000000-0008-0000-0300-000011000000}"/>
            </a:ext>
          </a:extLst>
        </xdr:cNvPr>
        <xdr:cNvCxnSpPr/>
      </xdr:nvCxnSpPr>
      <xdr:spPr>
        <a:xfrm>
          <a:off x="5429250" y="9810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3</xdr:row>
      <xdr:rowOff>219075</xdr:rowOff>
    </xdr:from>
    <xdr:to>
      <xdr:col>5</xdr:col>
      <xdr:colOff>602249</xdr:colOff>
      <xdr:row>3</xdr:row>
      <xdr:rowOff>219075</xdr:rowOff>
    </xdr:to>
    <xdr:cxnSp macro="">
      <xdr:nvCxnSpPr>
        <xdr:cNvPr id="2" name="Straight Arrow Connector 1">
          <a:extLst>
            <a:ext uri="{FF2B5EF4-FFF2-40B4-BE49-F238E27FC236}">
              <a16:creationId xmlns:a16="http://schemas.microsoft.com/office/drawing/2014/main" xmlns="" id="{00000000-0008-0000-0200-000002000000}"/>
            </a:ext>
          </a:extLst>
        </xdr:cNvPr>
        <xdr:cNvCxnSpPr/>
      </xdr:nvCxnSpPr>
      <xdr:spPr>
        <a:xfrm>
          <a:off x="3943350" y="10096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3</xdr:row>
      <xdr:rowOff>200025</xdr:rowOff>
    </xdr:from>
    <xdr:to>
      <xdr:col>3</xdr:col>
      <xdr:colOff>564149</xdr:colOff>
      <xdr:row>3</xdr:row>
      <xdr:rowOff>200025</xdr:rowOff>
    </xdr:to>
    <xdr:cxnSp macro="">
      <xdr:nvCxnSpPr>
        <xdr:cNvPr id="3" name="Straight Arrow Connector 2">
          <a:extLst>
            <a:ext uri="{FF2B5EF4-FFF2-40B4-BE49-F238E27FC236}">
              <a16:creationId xmlns:a16="http://schemas.microsoft.com/office/drawing/2014/main" xmlns="" id="{00000000-0008-0000-0200-000003000000}"/>
            </a:ext>
          </a:extLst>
        </xdr:cNvPr>
        <xdr:cNvCxnSpPr/>
      </xdr:nvCxnSpPr>
      <xdr:spPr>
        <a:xfrm>
          <a:off x="2628900" y="9906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5</xdr:row>
      <xdr:rowOff>123825</xdr:rowOff>
    </xdr:from>
    <xdr:to>
      <xdr:col>7</xdr:col>
      <xdr:colOff>602249</xdr:colOff>
      <xdr:row>5</xdr:row>
      <xdr:rowOff>123825</xdr:rowOff>
    </xdr:to>
    <xdr:cxnSp macro="">
      <xdr:nvCxnSpPr>
        <xdr:cNvPr id="4" name="Straight Arrow Connector 3">
          <a:extLst>
            <a:ext uri="{FF2B5EF4-FFF2-40B4-BE49-F238E27FC236}">
              <a16:creationId xmlns:a16="http://schemas.microsoft.com/office/drawing/2014/main" xmlns="" id="{00000000-0008-0000-0200-000004000000}"/>
            </a:ext>
          </a:extLst>
        </xdr:cNvPr>
        <xdr:cNvCxnSpPr/>
      </xdr:nvCxnSpPr>
      <xdr:spPr>
        <a:xfrm>
          <a:off x="3943350" y="15049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95250</xdr:colOff>
      <xdr:row>5</xdr:row>
      <xdr:rowOff>104775</xdr:rowOff>
    </xdr:from>
    <xdr:to>
      <xdr:col>5</xdr:col>
      <xdr:colOff>583199</xdr:colOff>
      <xdr:row>5</xdr:row>
      <xdr:rowOff>104775</xdr:rowOff>
    </xdr:to>
    <xdr:cxnSp macro="">
      <xdr:nvCxnSpPr>
        <xdr:cNvPr id="5" name="Straight Arrow Connector 4">
          <a:extLst>
            <a:ext uri="{FF2B5EF4-FFF2-40B4-BE49-F238E27FC236}">
              <a16:creationId xmlns:a16="http://schemas.microsoft.com/office/drawing/2014/main" xmlns="" id="{00000000-0008-0000-0200-000005000000}"/>
            </a:ext>
          </a:extLst>
        </xdr:cNvPr>
        <xdr:cNvCxnSpPr/>
      </xdr:nvCxnSpPr>
      <xdr:spPr>
        <a:xfrm>
          <a:off x="2647950" y="14859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6</xdr:row>
      <xdr:rowOff>104775</xdr:rowOff>
    </xdr:from>
    <xdr:to>
      <xdr:col>7</xdr:col>
      <xdr:colOff>602249</xdr:colOff>
      <xdr:row>6</xdr:row>
      <xdr:rowOff>104775</xdr:rowOff>
    </xdr:to>
    <xdr:cxnSp macro="">
      <xdr:nvCxnSpPr>
        <xdr:cNvPr id="6" name="Straight Arrow Connector 5">
          <a:extLst>
            <a:ext uri="{FF2B5EF4-FFF2-40B4-BE49-F238E27FC236}">
              <a16:creationId xmlns:a16="http://schemas.microsoft.com/office/drawing/2014/main" xmlns="" id="{00000000-0008-0000-0200-000006000000}"/>
            </a:ext>
          </a:extLst>
        </xdr:cNvPr>
        <xdr:cNvCxnSpPr/>
      </xdr:nvCxnSpPr>
      <xdr:spPr>
        <a:xfrm>
          <a:off x="3943350" y="18859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95250</xdr:colOff>
      <xdr:row>6</xdr:row>
      <xdr:rowOff>85725</xdr:rowOff>
    </xdr:from>
    <xdr:to>
      <xdr:col>5</xdr:col>
      <xdr:colOff>583199</xdr:colOff>
      <xdr:row>6</xdr:row>
      <xdr:rowOff>85725</xdr:rowOff>
    </xdr:to>
    <xdr:cxnSp macro="">
      <xdr:nvCxnSpPr>
        <xdr:cNvPr id="7" name="Straight Arrow Connector 6">
          <a:extLst>
            <a:ext uri="{FF2B5EF4-FFF2-40B4-BE49-F238E27FC236}">
              <a16:creationId xmlns:a16="http://schemas.microsoft.com/office/drawing/2014/main" xmlns="" id="{00000000-0008-0000-0200-000007000000}"/>
            </a:ext>
          </a:extLst>
        </xdr:cNvPr>
        <xdr:cNvCxnSpPr/>
      </xdr:nvCxnSpPr>
      <xdr:spPr>
        <a:xfrm>
          <a:off x="2647950" y="18669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9</xdr:row>
      <xdr:rowOff>123825</xdr:rowOff>
    </xdr:from>
    <xdr:to>
      <xdr:col>5</xdr:col>
      <xdr:colOff>602249</xdr:colOff>
      <xdr:row>9</xdr:row>
      <xdr:rowOff>123825</xdr:rowOff>
    </xdr:to>
    <xdr:cxnSp macro="">
      <xdr:nvCxnSpPr>
        <xdr:cNvPr id="8" name="Straight Arrow Connector 7">
          <a:extLst>
            <a:ext uri="{FF2B5EF4-FFF2-40B4-BE49-F238E27FC236}">
              <a16:creationId xmlns:a16="http://schemas.microsoft.com/office/drawing/2014/main" xmlns="" id="{00000000-0008-0000-0200-000008000000}"/>
            </a:ext>
          </a:extLst>
        </xdr:cNvPr>
        <xdr:cNvCxnSpPr/>
      </xdr:nvCxnSpPr>
      <xdr:spPr>
        <a:xfrm>
          <a:off x="3943350" y="23050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9</xdr:row>
      <xdr:rowOff>104775</xdr:rowOff>
    </xdr:from>
    <xdr:to>
      <xdr:col>3</xdr:col>
      <xdr:colOff>583199</xdr:colOff>
      <xdr:row>9</xdr:row>
      <xdr:rowOff>104775</xdr:rowOff>
    </xdr:to>
    <xdr:cxnSp macro="">
      <xdr:nvCxnSpPr>
        <xdr:cNvPr id="9" name="Straight Arrow Connector 8">
          <a:extLst>
            <a:ext uri="{FF2B5EF4-FFF2-40B4-BE49-F238E27FC236}">
              <a16:creationId xmlns:a16="http://schemas.microsoft.com/office/drawing/2014/main" xmlns="" id="{00000000-0008-0000-0200-000009000000}"/>
            </a:ext>
          </a:extLst>
        </xdr:cNvPr>
        <xdr:cNvCxnSpPr/>
      </xdr:nvCxnSpPr>
      <xdr:spPr>
        <a:xfrm>
          <a:off x="2647950" y="22860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11</xdr:row>
      <xdr:rowOff>123825</xdr:rowOff>
    </xdr:from>
    <xdr:to>
      <xdr:col>5</xdr:col>
      <xdr:colOff>602249</xdr:colOff>
      <xdr:row>11</xdr:row>
      <xdr:rowOff>123825</xdr:rowOff>
    </xdr:to>
    <xdr:cxnSp macro="">
      <xdr:nvCxnSpPr>
        <xdr:cNvPr id="10" name="Straight Arrow Connector 9">
          <a:extLst>
            <a:ext uri="{FF2B5EF4-FFF2-40B4-BE49-F238E27FC236}">
              <a16:creationId xmlns:a16="http://schemas.microsoft.com/office/drawing/2014/main" xmlns="" id="{00000000-0008-0000-0200-00000A000000}"/>
            </a:ext>
          </a:extLst>
        </xdr:cNvPr>
        <xdr:cNvCxnSpPr/>
      </xdr:nvCxnSpPr>
      <xdr:spPr>
        <a:xfrm>
          <a:off x="3943350" y="27051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11</xdr:row>
      <xdr:rowOff>104775</xdr:rowOff>
    </xdr:from>
    <xdr:to>
      <xdr:col>3</xdr:col>
      <xdr:colOff>583199</xdr:colOff>
      <xdr:row>11</xdr:row>
      <xdr:rowOff>104775</xdr:rowOff>
    </xdr:to>
    <xdr:cxnSp macro="">
      <xdr:nvCxnSpPr>
        <xdr:cNvPr id="11" name="Straight Arrow Connector 10">
          <a:extLst>
            <a:ext uri="{FF2B5EF4-FFF2-40B4-BE49-F238E27FC236}">
              <a16:creationId xmlns:a16="http://schemas.microsoft.com/office/drawing/2014/main" xmlns="" id="{00000000-0008-0000-0200-00000B000000}"/>
            </a:ext>
          </a:extLst>
        </xdr:cNvPr>
        <xdr:cNvCxnSpPr/>
      </xdr:nvCxnSpPr>
      <xdr:spPr>
        <a:xfrm>
          <a:off x="2647950" y="26860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13</xdr:row>
      <xdr:rowOff>123825</xdr:rowOff>
    </xdr:from>
    <xdr:to>
      <xdr:col>5</xdr:col>
      <xdr:colOff>602249</xdr:colOff>
      <xdr:row>13</xdr:row>
      <xdr:rowOff>123825</xdr:rowOff>
    </xdr:to>
    <xdr:cxnSp macro="">
      <xdr:nvCxnSpPr>
        <xdr:cNvPr id="12" name="Straight Arrow Connector 11">
          <a:extLst>
            <a:ext uri="{FF2B5EF4-FFF2-40B4-BE49-F238E27FC236}">
              <a16:creationId xmlns:a16="http://schemas.microsoft.com/office/drawing/2014/main" xmlns="" id="{00000000-0008-0000-0200-00000C000000}"/>
            </a:ext>
          </a:extLst>
        </xdr:cNvPr>
        <xdr:cNvCxnSpPr/>
      </xdr:nvCxnSpPr>
      <xdr:spPr>
        <a:xfrm>
          <a:off x="3943350" y="31051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13</xdr:row>
      <xdr:rowOff>104775</xdr:rowOff>
    </xdr:from>
    <xdr:to>
      <xdr:col>3</xdr:col>
      <xdr:colOff>583199</xdr:colOff>
      <xdr:row>13</xdr:row>
      <xdr:rowOff>104775</xdr:rowOff>
    </xdr:to>
    <xdr:cxnSp macro="">
      <xdr:nvCxnSpPr>
        <xdr:cNvPr id="13" name="Straight Arrow Connector 12">
          <a:extLst>
            <a:ext uri="{FF2B5EF4-FFF2-40B4-BE49-F238E27FC236}">
              <a16:creationId xmlns:a16="http://schemas.microsoft.com/office/drawing/2014/main" xmlns="" id="{00000000-0008-0000-0200-00000D000000}"/>
            </a:ext>
          </a:extLst>
        </xdr:cNvPr>
        <xdr:cNvCxnSpPr/>
      </xdr:nvCxnSpPr>
      <xdr:spPr>
        <a:xfrm>
          <a:off x="2647950" y="30861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6</xdr:row>
      <xdr:rowOff>0</xdr:rowOff>
    </xdr:from>
    <xdr:to>
      <xdr:col>3</xdr:col>
      <xdr:colOff>583199</xdr:colOff>
      <xdr:row>6</xdr:row>
      <xdr:rowOff>0</xdr:rowOff>
    </xdr:to>
    <xdr:cxnSp macro="">
      <xdr:nvCxnSpPr>
        <xdr:cNvPr id="15" name="Straight Arrow Connector 14">
          <a:extLst>
            <a:ext uri="{FF2B5EF4-FFF2-40B4-BE49-F238E27FC236}">
              <a16:creationId xmlns:a16="http://schemas.microsoft.com/office/drawing/2014/main" xmlns="" id="{6312F232-4EB4-4DB5-8E93-8C9FC488EE89}"/>
            </a:ext>
          </a:extLst>
        </xdr:cNvPr>
        <xdr:cNvCxnSpPr/>
      </xdr:nvCxnSpPr>
      <xdr:spPr>
        <a:xfrm>
          <a:off x="2647950" y="15811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57150</xdr:colOff>
      <xdr:row>2</xdr:row>
      <xdr:rowOff>219075</xdr:rowOff>
    </xdr:from>
    <xdr:to>
      <xdr:col>5</xdr:col>
      <xdr:colOff>545099</xdr:colOff>
      <xdr:row>2</xdr:row>
      <xdr:rowOff>219075</xdr:rowOff>
    </xdr:to>
    <xdr:cxnSp macro="">
      <xdr:nvCxnSpPr>
        <xdr:cNvPr id="2" name="Straight Arrow Connector 1">
          <a:extLst>
            <a:ext uri="{FF2B5EF4-FFF2-40B4-BE49-F238E27FC236}">
              <a16:creationId xmlns:a16="http://schemas.microsoft.com/office/drawing/2014/main" xmlns="" id="{00000000-0008-0000-0400-000002000000}"/>
            </a:ext>
          </a:extLst>
        </xdr:cNvPr>
        <xdr:cNvCxnSpPr/>
      </xdr:nvCxnSpPr>
      <xdr:spPr>
        <a:xfrm>
          <a:off x="5191125" y="8096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180975</xdr:colOff>
      <xdr:row>2</xdr:row>
      <xdr:rowOff>219075</xdr:rowOff>
    </xdr:from>
    <xdr:to>
      <xdr:col>3</xdr:col>
      <xdr:colOff>668924</xdr:colOff>
      <xdr:row>2</xdr:row>
      <xdr:rowOff>219075</xdr:rowOff>
    </xdr:to>
    <xdr:cxnSp macro="">
      <xdr:nvCxnSpPr>
        <xdr:cNvPr id="3" name="Straight Arrow Connector 2">
          <a:extLst>
            <a:ext uri="{FF2B5EF4-FFF2-40B4-BE49-F238E27FC236}">
              <a16:creationId xmlns:a16="http://schemas.microsoft.com/office/drawing/2014/main" xmlns="" id="{00000000-0008-0000-0400-000003000000}"/>
            </a:ext>
          </a:extLst>
        </xdr:cNvPr>
        <xdr:cNvCxnSpPr/>
      </xdr:nvCxnSpPr>
      <xdr:spPr>
        <a:xfrm>
          <a:off x="2971800" y="8096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xdr:colOff>
      <xdr:row>4</xdr:row>
      <xdr:rowOff>180975</xdr:rowOff>
    </xdr:from>
    <xdr:to>
      <xdr:col>5</xdr:col>
      <xdr:colOff>545099</xdr:colOff>
      <xdr:row>4</xdr:row>
      <xdr:rowOff>180975</xdr:rowOff>
    </xdr:to>
    <xdr:cxnSp macro="">
      <xdr:nvCxnSpPr>
        <xdr:cNvPr id="4" name="Straight Arrow Connector 3">
          <a:extLst>
            <a:ext uri="{FF2B5EF4-FFF2-40B4-BE49-F238E27FC236}">
              <a16:creationId xmlns:a16="http://schemas.microsoft.com/office/drawing/2014/main" xmlns="" id="{00000000-0008-0000-0400-000004000000}"/>
            </a:ext>
          </a:extLst>
        </xdr:cNvPr>
        <xdr:cNvCxnSpPr/>
      </xdr:nvCxnSpPr>
      <xdr:spPr>
        <a:xfrm>
          <a:off x="5191125" y="14287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180975</xdr:colOff>
      <xdr:row>4</xdr:row>
      <xdr:rowOff>180975</xdr:rowOff>
    </xdr:from>
    <xdr:to>
      <xdr:col>3</xdr:col>
      <xdr:colOff>668924</xdr:colOff>
      <xdr:row>4</xdr:row>
      <xdr:rowOff>180975</xdr:rowOff>
    </xdr:to>
    <xdr:cxnSp macro="">
      <xdr:nvCxnSpPr>
        <xdr:cNvPr id="5" name="Straight Arrow Connector 4">
          <a:extLst>
            <a:ext uri="{FF2B5EF4-FFF2-40B4-BE49-F238E27FC236}">
              <a16:creationId xmlns:a16="http://schemas.microsoft.com/office/drawing/2014/main" xmlns="" id="{00000000-0008-0000-0400-000005000000}"/>
            </a:ext>
          </a:extLst>
        </xdr:cNvPr>
        <xdr:cNvCxnSpPr/>
      </xdr:nvCxnSpPr>
      <xdr:spPr>
        <a:xfrm>
          <a:off x="2971800" y="14287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xdr:colOff>
      <xdr:row>6</xdr:row>
      <xdr:rowOff>257175</xdr:rowOff>
    </xdr:from>
    <xdr:to>
      <xdr:col>5</xdr:col>
      <xdr:colOff>545099</xdr:colOff>
      <xdr:row>6</xdr:row>
      <xdr:rowOff>257175</xdr:rowOff>
    </xdr:to>
    <xdr:cxnSp macro="">
      <xdr:nvCxnSpPr>
        <xdr:cNvPr id="6" name="Straight Arrow Connector 5">
          <a:extLst>
            <a:ext uri="{FF2B5EF4-FFF2-40B4-BE49-F238E27FC236}">
              <a16:creationId xmlns:a16="http://schemas.microsoft.com/office/drawing/2014/main" xmlns="" id="{00000000-0008-0000-0400-000006000000}"/>
            </a:ext>
          </a:extLst>
        </xdr:cNvPr>
        <xdr:cNvCxnSpPr/>
      </xdr:nvCxnSpPr>
      <xdr:spPr>
        <a:xfrm>
          <a:off x="5191125" y="2095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180975</xdr:colOff>
      <xdr:row>6</xdr:row>
      <xdr:rowOff>257175</xdr:rowOff>
    </xdr:from>
    <xdr:to>
      <xdr:col>3</xdr:col>
      <xdr:colOff>668924</xdr:colOff>
      <xdr:row>6</xdr:row>
      <xdr:rowOff>257175</xdr:rowOff>
    </xdr:to>
    <xdr:cxnSp macro="">
      <xdr:nvCxnSpPr>
        <xdr:cNvPr id="7" name="Straight Arrow Connector 6">
          <a:extLst>
            <a:ext uri="{FF2B5EF4-FFF2-40B4-BE49-F238E27FC236}">
              <a16:creationId xmlns:a16="http://schemas.microsoft.com/office/drawing/2014/main" xmlns="" id="{00000000-0008-0000-0400-000007000000}"/>
            </a:ext>
          </a:extLst>
        </xdr:cNvPr>
        <xdr:cNvCxnSpPr/>
      </xdr:nvCxnSpPr>
      <xdr:spPr>
        <a:xfrm>
          <a:off x="2971800" y="209550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2</xdr:row>
      <xdr:rowOff>228600</xdr:rowOff>
    </xdr:from>
    <xdr:to>
      <xdr:col>7</xdr:col>
      <xdr:colOff>592724</xdr:colOff>
      <xdr:row>2</xdr:row>
      <xdr:rowOff>228600</xdr:rowOff>
    </xdr:to>
    <xdr:cxnSp macro="">
      <xdr:nvCxnSpPr>
        <xdr:cNvPr id="8" name="Straight Arrow Connector 7">
          <a:extLst>
            <a:ext uri="{FF2B5EF4-FFF2-40B4-BE49-F238E27FC236}">
              <a16:creationId xmlns:a16="http://schemas.microsoft.com/office/drawing/2014/main" xmlns="" id="{00000000-0008-0000-0400-000008000000}"/>
            </a:ext>
          </a:extLst>
        </xdr:cNvPr>
        <xdr:cNvCxnSpPr/>
      </xdr:nvCxnSpPr>
      <xdr:spPr>
        <a:xfrm>
          <a:off x="6457950" y="819150"/>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4</xdr:row>
      <xdr:rowOff>190500</xdr:rowOff>
    </xdr:from>
    <xdr:to>
      <xdr:col>7</xdr:col>
      <xdr:colOff>592724</xdr:colOff>
      <xdr:row>4</xdr:row>
      <xdr:rowOff>190500</xdr:rowOff>
    </xdr:to>
    <xdr:cxnSp macro="">
      <xdr:nvCxnSpPr>
        <xdr:cNvPr id="9" name="Straight Arrow Connector 8">
          <a:extLst>
            <a:ext uri="{FF2B5EF4-FFF2-40B4-BE49-F238E27FC236}">
              <a16:creationId xmlns:a16="http://schemas.microsoft.com/office/drawing/2014/main" xmlns="" id="{00000000-0008-0000-0400-000009000000}"/>
            </a:ext>
          </a:extLst>
        </xdr:cNvPr>
        <xdr:cNvCxnSpPr/>
      </xdr:nvCxnSpPr>
      <xdr:spPr>
        <a:xfrm>
          <a:off x="6457950" y="143827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6</xdr:row>
      <xdr:rowOff>266700</xdr:rowOff>
    </xdr:from>
    <xdr:to>
      <xdr:col>7</xdr:col>
      <xdr:colOff>592724</xdr:colOff>
      <xdr:row>6</xdr:row>
      <xdr:rowOff>266700</xdr:rowOff>
    </xdr:to>
    <xdr:cxnSp macro="">
      <xdr:nvCxnSpPr>
        <xdr:cNvPr id="10" name="Straight Arrow Connector 9">
          <a:extLst>
            <a:ext uri="{FF2B5EF4-FFF2-40B4-BE49-F238E27FC236}">
              <a16:creationId xmlns:a16="http://schemas.microsoft.com/office/drawing/2014/main" xmlns="" id="{00000000-0008-0000-0400-00000A000000}"/>
            </a:ext>
          </a:extLst>
        </xdr:cNvPr>
        <xdr:cNvCxnSpPr/>
      </xdr:nvCxnSpPr>
      <xdr:spPr>
        <a:xfrm>
          <a:off x="6457950" y="2105025"/>
          <a:ext cx="487949" cy="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D17"/>
  <sheetViews>
    <sheetView workbookViewId="0"/>
  </sheetViews>
  <sheetFormatPr defaultColWidth="9.109375" defaultRowHeight="14.4" x14ac:dyDescent="0.3"/>
  <cols>
    <col min="1" max="1" width="9.109375" style="2"/>
    <col min="2" max="2" width="13.44140625" style="2" customWidth="1"/>
    <col min="3" max="3" width="39.88671875" style="2" bestFit="1" customWidth="1"/>
    <col min="4" max="4" width="45.88671875" style="2" bestFit="1" customWidth="1"/>
    <col min="5" max="16384" width="9.109375" style="2"/>
  </cols>
  <sheetData>
    <row r="4" spans="2:4" ht="31.2" x14ac:dyDescent="0.3">
      <c r="B4" s="138" t="s">
        <v>565</v>
      </c>
      <c r="C4" s="139" t="s">
        <v>567</v>
      </c>
      <c r="D4" s="139" t="s">
        <v>600</v>
      </c>
    </row>
    <row r="5" spans="2:4" x14ac:dyDescent="0.3">
      <c r="B5" s="137">
        <v>1</v>
      </c>
      <c r="C5" s="136" t="s">
        <v>573</v>
      </c>
      <c r="D5" s="136" t="s">
        <v>578</v>
      </c>
    </row>
    <row r="6" spans="2:4" x14ac:dyDescent="0.3">
      <c r="B6" s="137">
        <v>2</v>
      </c>
      <c r="C6" s="136" t="s">
        <v>574</v>
      </c>
      <c r="D6" s="136" t="s">
        <v>580</v>
      </c>
    </row>
    <row r="7" spans="2:4" x14ac:dyDescent="0.3">
      <c r="B7" s="137">
        <v>3</v>
      </c>
      <c r="C7" s="136" t="s">
        <v>575</v>
      </c>
      <c r="D7" s="136" t="s">
        <v>579</v>
      </c>
    </row>
    <row r="8" spans="2:4" x14ac:dyDescent="0.3">
      <c r="B8" s="137">
        <v>4</v>
      </c>
      <c r="C8" s="136" t="s">
        <v>576</v>
      </c>
      <c r="D8" s="136" t="s">
        <v>581</v>
      </c>
    </row>
    <row r="9" spans="2:4" x14ac:dyDescent="0.3">
      <c r="B9" s="137">
        <v>5</v>
      </c>
      <c r="C9" s="136" t="s">
        <v>577</v>
      </c>
      <c r="D9" s="136" t="s">
        <v>582</v>
      </c>
    </row>
    <row r="10" spans="2:4" x14ac:dyDescent="0.3">
      <c r="B10" s="137">
        <v>6</v>
      </c>
      <c r="C10" s="136" t="s">
        <v>571</v>
      </c>
      <c r="D10" s="136" t="s">
        <v>584</v>
      </c>
    </row>
    <row r="11" spans="2:4" x14ac:dyDescent="0.3">
      <c r="B11" s="137">
        <v>7</v>
      </c>
      <c r="C11" s="136" t="s">
        <v>566</v>
      </c>
      <c r="D11" s="136" t="s">
        <v>583</v>
      </c>
    </row>
    <row r="12" spans="2:4" x14ac:dyDescent="0.3">
      <c r="B12" s="137">
        <v>8</v>
      </c>
      <c r="C12" s="136" t="s">
        <v>572</v>
      </c>
      <c r="D12" s="136" t="s">
        <v>585</v>
      </c>
    </row>
    <row r="13" spans="2:4" x14ac:dyDescent="0.3">
      <c r="B13" s="137">
        <v>9</v>
      </c>
      <c r="C13" s="136" t="s">
        <v>568</v>
      </c>
      <c r="D13" s="136" t="s">
        <v>586</v>
      </c>
    </row>
    <row r="14" spans="2:4" x14ac:dyDescent="0.3">
      <c r="B14" s="137">
        <v>10</v>
      </c>
      <c r="C14" s="136" t="s">
        <v>569</v>
      </c>
      <c r="D14" s="136" t="s">
        <v>587</v>
      </c>
    </row>
    <row r="15" spans="2:4" x14ac:dyDescent="0.3">
      <c r="B15" s="137">
        <v>11</v>
      </c>
      <c r="C15" s="136" t="s">
        <v>570</v>
      </c>
      <c r="D15" s="136" t="s">
        <v>588</v>
      </c>
    </row>
    <row r="17" spans="4:4" ht="18" x14ac:dyDescent="0.35">
      <c r="D17" s="150" t="s">
        <v>590</v>
      </c>
    </row>
  </sheetData>
  <hyperlinks>
    <hyperlink ref="D17" location="'Main Options'!A1" display="Go to Menu Options"/>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8"/>
  <sheetViews>
    <sheetView tabSelected="1" zoomScale="91" zoomScaleNormal="91" workbookViewId="0">
      <selection activeCell="C8" sqref="C8"/>
    </sheetView>
  </sheetViews>
  <sheetFormatPr defaultColWidth="9.109375" defaultRowHeight="14.4" x14ac:dyDescent="0.3"/>
  <cols>
    <col min="1" max="2" width="9.109375" style="2"/>
    <col min="3" max="3" width="24.44140625" style="1" bestFit="1" customWidth="1"/>
    <col min="4" max="4" width="19" style="1" customWidth="1"/>
    <col min="5" max="5" width="20.6640625" style="1" customWidth="1"/>
    <col min="6" max="6" width="16.6640625" style="1" bestFit="1" customWidth="1"/>
    <col min="7" max="7" width="4.5546875" style="1" customWidth="1"/>
    <col min="8" max="8" width="21" style="1" bestFit="1" customWidth="1"/>
    <col min="9" max="9" width="8.5546875" style="1" customWidth="1"/>
    <col min="10" max="10" width="3.33203125" style="1" customWidth="1"/>
    <col min="11" max="11" width="24.33203125" style="1" bestFit="1" customWidth="1"/>
    <col min="12" max="12" width="7.6640625" style="1" customWidth="1"/>
    <col min="13" max="13" width="1.5546875" style="1" customWidth="1"/>
    <col min="14" max="14" width="22.33203125" style="1" bestFit="1" customWidth="1"/>
    <col min="15" max="15" width="6.44140625" style="1" customWidth="1"/>
    <col min="16" max="16" width="4.33203125" style="1" customWidth="1"/>
    <col min="17" max="17" width="22.109375" style="1" customWidth="1"/>
    <col min="18" max="18" width="9.109375" style="2"/>
    <col min="19" max="19" width="4.6640625" style="2" customWidth="1"/>
    <col min="20" max="16384" width="9.109375" style="2"/>
  </cols>
  <sheetData>
    <row r="1" spans="2:14" ht="18" x14ac:dyDescent="0.35">
      <c r="B1" s="47"/>
    </row>
    <row r="2" spans="2:14" ht="18" x14ac:dyDescent="0.35">
      <c r="B2" s="148" t="s">
        <v>623</v>
      </c>
      <c r="C2" s="48"/>
      <c r="D2" s="48"/>
      <c r="E2" s="48"/>
      <c r="F2" s="48"/>
      <c r="G2" s="48"/>
      <c r="H2" s="48"/>
      <c r="I2" s="48"/>
      <c r="J2" s="48"/>
      <c r="K2" s="48"/>
      <c r="L2" s="48"/>
      <c r="M2" s="48"/>
      <c r="N2" s="48"/>
    </row>
    <row r="3" spans="2:14" ht="18" x14ac:dyDescent="0.35">
      <c r="B3" s="148"/>
      <c r="C3" s="48"/>
      <c r="D3" s="48"/>
      <c r="E3" s="48"/>
      <c r="F3" s="48"/>
      <c r="G3" s="48"/>
      <c r="H3" s="48"/>
      <c r="I3" s="48"/>
      <c r="J3" s="48"/>
      <c r="K3" s="48"/>
      <c r="L3" s="48"/>
      <c r="M3" s="48"/>
      <c r="N3" s="48"/>
    </row>
    <row r="4" spans="2:14" ht="18" x14ac:dyDescent="0.35">
      <c r="B4" s="149" t="s">
        <v>718</v>
      </c>
      <c r="C4" s="48"/>
      <c r="D4" s="48"/>
      <c r="E4" s="48"/>
      <c r="F4" s="48"/>
      <c r="G4" s="48"/>
      <c r="H4" s="48"/>
      <c r="I4" s="48"/>
      <c r="J4" s="48"/>
      <c r="K4" s="48"/>
      <c r="L4" s="48"/>
      <c r="M4" s="48"/>
      <c r="N4" s="48"/>
    </row>
    <row r="5" spans="2:14" ht="18.600000000000001" thickBot="1" x14ac:dyDescent="0.4">
      <c r="B5" s="47"/>
      <c r="C5" s="48"/>
      <c r="D5" s="48"/>
      <c r="E5" s="48"/>
      <c r="F5" s="48"/>
      <c r="G5" s="48"/>
      <c r="H5" s="48"/>
      <c r="I5" s="48"/>
      <c r="J5" s="48"/>
      <c r="K5" s="48"/>
      <c r="L5" s="48"/>
      <c r="M5" s="48"/>
      <c r="N5" s="48"/>
    </row>
    <row r="6" spans="2:14" ht="18" x14ac:dyDescent="0.35">
      <c r="B6" s="49"/>
      <c r="C6" s="50"/>
      <c r="D6" s="50"/>
      <c r="E6" s="50"/>
      <c r="F6" s="51"/>
      <c r="G6" s="48"/>
      <c r="H6" s="151" t="s">
        <v>591</v>
      </c>
      <c r="I6" s="48"/>
      <c r="J6" s="48"/>
      <c r="K6" s="48"/>
      <c r="L6" s="48"/>
      <c r="M6" s="48"/>
      <c r="N6" s="48"/>
    </row>
    <row r="7" spans="2:14" ht="18.600000000000001" thickBot="1" x14ac:dyDescent="0.4">
      <c r="B7" s="52"/>
      <c r="C7" s="48"/>
      <c r="D7" s="48"/>
      <c r="E7" s="48"/>
      <c r="F7" s="53"/>
      <c r="G7" s="48"/>
      <c r="H7" s="48"/>
      <c r="I7" s="48"/>
      <c r="J7" s="48"/>
      <c r="K7" s="48"/>
      <c r="L7" s="48"/>
      <c r="M7" s="48"/>
      <c r="N7" s="48"/>
    </row>
    <row r="8" spans="2:14" s="1" customFormat="1" ht="40.5" customHeight="1" thickBot="1" x14ac:dyDescent="0.4">
      <c r="B8" s="54"/>
      <c r="C8" s="141" t="s">
        <v>0</v>
      </c>
      <c r="E8" s="143" t="s">
        <v>2</v>
      </c>
      <c r="F8" s="154"/>
      <c r="G8" s="55"/>
      <c r="I8" s="48"/>
      <c r="J8" s="48"/>
      <c r="K8" s="48"/>
      <c r="L8" s="48"/>
      <c r="M8" s="48"/>
      <c r="N8" s="48"/>
    </row>
    <row r="9" spans="2:14" ht="18" x14ac:dyDescent="0.35">
      <c r="B9" s="52"/>
      <c r="C9" s="55"/>
      <c r="D9" s="55"/>
      <c r="E9" s="55"/>
      <c r="F9" s="140"/>
      <c r="G9" s="55"/>
      <c r="H9" s="55"/>
      <c r="I9" s="48"/>
      <c r="J9" s="48"/>
      <c r="K9" s="48"/>
      <c r="L9" s="48"/>
      <c r="M9" s="48"/>
      <c r="N9" s="48"/>
    </row>
    <row r="10" spans="2:14" ht="18" x14ac:dyDescent="0.35">
      <c r="B10" s="52"/>
      <c r="C10" s="55"/>
      <c r="D10" s="55"/>
      <c r="E10" s="55"/>
      <c r="F10" s="140"/>
      <c r="G10" s="55"/>
      <c r="H10" s="55"/>
      <c r="I10" s="48"/>
      <c r="J10" s="48"/>
      <c r="K10" s="48"/>
      <c r="L10" s="48"/>
      <c r="M10" s="48"/>
      <c r="N10" s="48"/>
    </row>
    <row r="11" spans="2:14" ht="18.600000000000001" thickBot="1" x14ac:dyDescent="0.4">
      <c r="B11" s="52"/>
      <c r="C11" s="55"/>
      <c r="D11" s="55"/>
      <c r="E11" s="55"/>
      <c r="F11" s="140"/>
      <c r="G11" s="55"/>
      <c r="H11" s="55"/>
      <c r="I11" s="48"/>
      <c r="J11" s="48"/>
      <c r="K11" s="48"/>
      <c r="L11" s="48"/>
      <c r="M11" s="48"/>
      <c r="N11" s="48"/>
    </row>
    <row r="12" spans="2:14" ht="36.6" thickBot="1" x14ac:dyDescent="0.4">
      <c r="B12" s="52"/>
      <c r="C12" s="142" t="s">
        <v>3</v>
      </c>
      <c r="E12" s="141" t="s">
        <v>70</v>
      </c>
      <c r="F12" s="28"/>
      <c r="G12" s="55"/>
      <c r="I12" s="48"/>
      <c r="J12" s="48"/>
      <c r="K12" s="48"/>
      <c r="L12" s="48"/>
      <c r="M12" s="48"/>
      <c r="N12" s="48"/>
    </row>
    <row r="13" spans="2:14" ht="18" x14ac:dyDescent="0.35">
      <c r="B13" s="52"/>
      <c r="C13" s="48"/>
      <c r="D13" s="48"/>
      <c r="E13" s="48"/>
      <c r="F13" s="53"/>
      <c r="G13" s="48"/>
      <c r="H13" s="48"/>
      <c r="I13" s="48"/>
      <c r="J13" s="48"/>
      <c r="K13" s="48"/>
      <c r="L13" s="48"/>
      <c r="M13" s="48"/>
      <c r="N13" s="48"/>
    </row>
    <row r="14" spans="2:14" ht="18" x14ac:dyDescent="0.35">
      <c r="B14" s="52"/>
      <c r="C14" s="48"/>
      <c r="D14" s="48"/>
      <c r="E14" s="48"/>
      <c r="F14" s="53"/>
      <c r="G14" s="48"/>
      <c r="H14" s="48"/>
      <c r="I14" s="48"/>
      <c r="J14" s="48"/>
      <c r="K14" s="48"/>
      <c r="L14" s="48"/>
      <c r="M14" s="48"/>
      <c r="N14" s="48"/>
    </row>
    <row r="15" spans="2:14" ht="18.600000000000001" thickBot="1" x14ac:dyDescent="0.4">
      <c r="B15" s="56"/>
      <c r="C15" s="57"/>
      <c r="D15" s="57"/>
      <c r="E15" s="57"/>
      <c r="F15" s="58"/>
      <c r="G15" s="48"/>
      <c r="H15" s="48"/>
      <c r="I15" s="48"/>
      <c r="J15" s="48"/>
      <c r="K15" s="48"/>
      <c r="L15" s="48"/>
      <c r="M15" s="48"/>
      <c r="N15" s="48"/>
    </row>
    <row r="16" spans="2:14" ht="18" x14ac:dyDescent="0.35">
      <c r="B16" s="47"/>
      <c r="C16" s="48"/>
      <c r="D16" s="48"/>
      <c r="E16" s="48"/>
      <c r="F16" s="48"/>
      <c r="G16" s="48"/>
      <c r="H16" s="48"/>
      <c r="I16" s="48"/>
      <c r="J16" s="48"/>
      <c r="K16" s="48"/>
      <c r="L16" s="48"/>
      <c r="M16" s="48"/>
      <c r="N16" s="48"/>
    </row>
    <row r="17" spans="2:14" ht="18" x14ac:dyDescent="0.35">
      <c r="B17" s="47"/>
      <c r="C17" s="48"/>
      <c r="D17" s="48"/>
      <c r="E17" s="48"/>
      <c r="F17" s="48"/>
      <c r="G17" s="48"/>
      <c r="H17" s="48"/>
      <c r="I17" s="48"/>
      <c r="J17" s="48"/>
      <c r="K17" s="48"/>
      <c r="L17" s="48"/>
      <c r="M17" s="48"/>
      <c r="N17" s="48"/>
    </row>
    <row r="18" spans="2:14" ht="18" x14ac:dyDescent="0.35">
      <c r="B18" s="47"/>
      <c r="C18" s="48"/>
      <c r="D18" s="48"/>
      <c r="E18" s="48"/>
      <c r="F18" s="48"/>
      <c r="G18" s="48"/>
      <c r="H18" s="48"/>
      <c r="I18" s="48"/>
      <c r="J18" s="48"/>
      <c r="K18" s="48"/>
      <c r="L18" s="48"/>
      <c r="M18" s="48"/>
      <c r="N18" s="48"/>
    </row>
  </sheetData>
  <hyperlinks>
    <hyperlink ref="C8" location="'Sub-Options'!A1" display="My Pay"/>
    <hyperlink ref="E8" location="'Personal Data'!A1" display="My Personal Data"/>
    <hyperlink ref="C12" location="'My Leave, Attendance'!A1" display="My Leave, Attendance and OT"/>
    <hyperlink ref="E12" location="FAQ!A1" display="FAQ"/>
    <hyperlink ref="H6" location="'Client Menu Grid'!A1" display="View Client Menu Grid"/>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6"/>
  <sheetViews>
    <sheetView zoomScale="91" zoomScaleNormal="91" workbookViewId="0"/>
  </sheetViews>
  <sheetFormatPr defaultColWidth="9.109375" defaultRowHeight="14.4" x14ac:dyDescent="0.3"/>
  <cols>
    <col min="1" max="2" width="9.109375" style="2"/>
    <col min="3" max="3" width="24.44140625" style="1" bestFit="1" customWidth="1"/>
    <col min="4" max="4" width="6.109375" style="1" customWidth="1"/>
    <col min="5" max="5" width="3.44140625" style="1" customWidth="1"/>
    <col min="6" max="6" width="16.6640625" style="1" bestFit="1" customWidth="1"/>
    <col min="7" max="7" width="5.5546875" style="1" customWidth="1"/>
    <col min="8" max="8" width="4.5546875" style="1" customWidth="1"/>
    <col min="9" max="9" width="21" style="1" bestFit="1" customWidth="1"/>
    <col min="10" max="10" width="8.5546875" style="1" customWidth="1"/>
    <col min="11" max="11" width="3.33203125" style="1" customWidth="1"/>
    <col min="12" max="12" width="24.33203125" style="1" bestFit="1" customWidth="1"/>
    <col min="13" max="13" width="7.6640625" style="1" customWidth="1"/>
    <col min="14" max="14" width="1.5546875" style="1" customWidth="1"/>
    <col min="15" max="15" width="22.33203125" style="1" bestFit="1" customWidth="1"/>
    <col min="16" max="16" width="6.44140625" style="1" customWidth="1"/>
    <col min="17" max="17" width="4.33203125" style="1" customWidth="1"/>
    <col min="18" max="18" width="22.109375" style="1" customWidth="1"/>
    <col min="19" max="19" width="9.109375" style="2"/>
    <col min="20" max="20" width="4.6640625" style="2" customWidth="1"/>
    <col min="21" max="16384" width="9.109375" style="2"/>
  </cols>
  <sheetData>
    <row r="1" spans="2:15" ht="18" x14ac:dyDescent="0.35">
      <c r="B1" s="152" t="s">
        <v>624</v>
      </c>
    </row>
    <row r="2" spans="2:15" ht="18.600000000000001" thickBot="1" x14ac:dyDescent="0.4">
      <c r="B2" s="47"/>
      <c r="C2" s="48"/>
      <c r="D2" s="48"/>
      <c r="E2" s="48"/>
      <c r="F2" s="48"/>
      <c r="G2" s="48"/>
      <c r="H2" s="48"/>
      <c r="I2" s="48"/>
      <c r="J2" s="48"/>
      <c r="K2" s="48"/>
      <c r="L2" s="48"/>
      <c r="M2" s="48"/>
      <c r="N2" s="48"/>
      <c r="O2" s="48"/>
    </row>
    <row r="3" spans="2:15" ht="18" x14ac:dyDescent="0.35">
      <c r="B3" s="49"/>
      <c r="C3" s="50"/>
      <c r="D3" s="50"/>
      <c r="E3" s="50"/>
      <c r="F3" s="50"/>
      <c r="G3" s="50"/>
      <c r="H3" s="50"/>
      <c r="I3" s="50"/>
      <c r="J3" s="50"/>
      <c r="K3" s="51"/>
      <c r="L3" s="48"/>
      <c r="M3" s="48"/>
      <c r="N3" s="48"/>
      <c r="O3" s="48"/>
    </row>
    <row r="4" spans="2:15" ht="18.600000000000001" thickBot="1" x14ac:dyDescent="0.4">
      <c r="B4" s="52"/>
      <c r="C4" s="48"/>
      <c r="D4" s="48"/>
      <c r="E4" s="48"/>
      <c r="F4" s="48"/>
      <c r="G4" s="48"/>
      <c r="H4" s="48"/>
      <c r="I4" s="48"/>
      <c r="J4" s="48"/>
      <c r="K4" s="53"/>
      <c r="L4" s="48"/>
      <c r="M4" s="48"/>
      <c r="N4" s="48"/>
      <c r="O4" s="48"/>
    </row>
    <row r="5" spans="2:15" s="1" customFormat="1" ht="40.5" customHeight="1" thickBot="1" x14ac:dyDescent="0.4">
      <c r="B5" s="54"/>
      <c r="C5" s="141" t="s">
        <v>589</v>
      </c>
      <c r="D5" s="55"/>
      <c r="E5" s="55"/>
      <c r="F5" s="141" t="s">
        <v>1</v>
      </c>
      <c r="G5" s="55"/>
      <c r="H5" s="55"/>
      <c r="I5" s="142" t="s">
        <v>69</v>
      </c>
      <c r="J5" s="48"/>
      <c r="K5" s="53"/>
      <c r="L5" s="48"/>
      <c r="M5" s="48"/>
      <c r="N5" s="48"/>
      <c r="O5" s="48"/>
    </row>
    <row r="6" spans="2:15" ht="18" x14ac:dyDescent="0.35">
      <c r="B6" s="52"/>
      <c r="C6" s="55"/>
      <c r="D6" s="55"/>
      <c r="E6" s="55"/>
      <c r="F6" s="55"/>
      <c r="G6" s="55"/>
      <c r="H6" s="55"/>
      <c r="I6" s="55"/>
      <c r="J6" s="48"/>
      <c r="K6" s="53"/>
      <c r="L6" s="48"/>
      <c r="M6" s="48"/>
      <c r="N6" s="48"/>
      <c r="O6" s="48"/>
    </row>
    <row r="7" spans="2:15" ht="18.600000000000001" thickBot="1" x14ac:dyDescent="0.4">
      <c r="B7" s="52"/>
      <c r="C7" s="55"/>
      <c r="D7" s="55"/>
      <c r="E7" s="55"/>
      <c r="F7" s="55"/>
      <c r="G7" s="55"/>
      <c r="H7" s="55"/>
      <c r="I7" s="55"/>
      <c r="J7" s="48"/>
      <c r="K7" s="53"/>
      <c r="L7" s="48"/>
      <c r="M7" s="48"/>
      <c r="N7" s="48"/>
      <c r="O7" s="48"/>
    </row>
    <row r="8" spans="2:15" ht="18.600000000000001" thickBot="1" x14ac:dyDescent="0.4">
      <c r="B8" s="56"/>
      <c r="C8" s="135"/>
      <c r="D8" s="135"/>
      <c r="E8" s="135"/>
      <c r="F8" s="135"/>
      <c r="G8" s="135"/>
      <c r="H8" s="135"/>
      <c r="I8" s="135"/>
      <c r="J8" s="30" t="s">
        <v>39</v>
      </c>
      <c r="K8" s="58"/>
      <c r="L8" s="48"/>
      <c r="M8" s="48"/>
      <c r="N8" s="48"/>
      <c r="O8" s="48"/>
    </row>
    <row r="9" spans="2:15" ht="18" x14ac:dyDescent="0.35">
      <c r="B9" s="47"/>
      <c r="D9" s="55"/>
      <c r="E9" s="55"/>
      <c r="F9"/>
      <c r="G9" s="55"/>
      <c r="H9" s="55"/>
      <c r="I9"/>
      <c r="J9" s="48"/>
      <c r="K9" s="48"/>
      <c r="L9" s="48"/>
      <c r="M9" s="48"/>
      <c r="N9" s="48"/>
      <c r="O9" s="48"/>
    </row>
    <row r="10" spans="2:15" ht="18" x14ac:dyDescent="0.35">
      <c r="B10" s="47"/>
      <c r="C10" s="48"/>
      <c r="D10" s="48"/>
      <c r="E10" s="48"/>
      <c r="F10" s="48"/>
      <c r="G10" s="48"/>
      <c r="H10" s="48"/>
      <c r="I10" s="48"/>
      <c r="J10" s="48"/>
      <c r="K10" s="48"/>
      <c r="L10" s="48"/>
      <c r="M10" s="48"/>
      <c r="N10" s="48"/>
      <c r="O10" s="48"/>
    </row>
    <row r="11" spans="2:15" ht="18" x14ac:dyDescent="0.35">
      <c r="B11" s="47"/>
      <c r="C11" s="48"/>
      <c r="D11" s="48"/>
      <c r="E11" s="48"/>
      <c r="F11" s="48"/>
      <c r="G11" s="48"/>
      <c r="H11" s="48"/>
      <c r="I11" s="48"/>
      <c r="J11" s="48"/>
      <c r="K11" s="48"/>
      <c r="L11" s="48"/>
      <c r="M11" s="48"/>
      <c r="N11" s="48"/>
      <c r="O11" s="48"/>
    </row>
    <row r="12" spans="2:15" ht="18" x14ac:dyDescent="0.35">
      <c r="B12" s="47"/>
      <c r="C12" s="48"/>
      <c r="D12" s="48"/>
      <c r="E12" s="48"/>
      <c r="F12" s="48"/>
      <c r="G12" s="48"/>
      <c r="H12" s="48"/>
      <c r="I12" s="48"/>
      <c r="J12" s="48"/>
      <c r="K12" s="48"/>
      <c r="L12" s="48"/>
      <c r="M12" s="48"/>
      <c r="N12" s="48"/>
      <c r="O12" s="48"/>
    </row>
    <row r="13" spans="2:15" ht="18" x14ac:dyDescent="0.35">
      <c r="B13" s="47"/>
      <c r="C13" s="48"/>
      <c r="D13" s="48"/>
      <c r="E13" s="48"/>
      <c r="F13" s="48"/>
      <c r="G13" s="48"/>
      <c r="H13" s="48"/>
      <c r="I13" s="48"/>
      <c r="J13" s="48"/>
      <c r="K13" s="48"/>
      <c r="L13" s="48"/>
      <c r="M13" s="48"/>
      <c r="N13" s="48"/>
      <c r="O13" s="48"/>
    </row>
    <row r="14" spans="2:15" ht="18" x14ac:dyDescent="0.35">
      <c r="B14" s="47"/>
      <c r="C14" s="48"/>
      <c r="D14" s="48"/>
      <c r="E14" s="48"/>
      <c r="F14" s="48"/>
      <c r="G14" s="48"/>
      <c r="H14" s="48"/>
      <c r="I14" s="48"/>
      <c r="J14" s="48"/>
      <c r="K14" s="48"/>
      <c r="L14" s="48"/>
      <c r="M14" s="48"/>
      <c r="N14" s="48"/>
      <c r="O14" s="48"/>
    </row>
    <row r="15" spans="2:15" ht="18" x14ac:dyDescent="0.35">
      <c r="B15" s="47"/>
      <c r="C15" s="48"/>
      <c r="D15" s="48"/>
      <c r="E15" s="48"/>
      <c r="F15" s="48"/>
      <c r="G15" s="48"/>
      <c r="H15" s="48"/>
      <c r="I15" s="48"/>
      <c r="J15" s="48"/>
      <c r="K15" s="48"/>
      <c r="L15" s="48"/>
      <c r="M15" s="48"/>
      <c r="N15" s="48"/>
      <c r="O15" s="48"/>
    </row>
    <row r="16" spans="2:15" ht="18" x14ac:dyDescent="0.35">
      <c r="B16" s="47"/>
      <c r="C16" s="48"/>
      <c r="D16" s="48"/>
      <c r="E16" s="48"/>
      <c r="F16" s="48"/>
      <c r="G16" s="48"/>
      <c r="H16" s="48"/>
      <c r="I16" s="48"/>
      <c r="J16" s="48"/>
      <c r="K16" s="48"/>
      <c r="L16" s="48"/>
      <c r="M16" s="48"/>
      <c r="N16" s="48"/>
      <c r="O16" s="48"/>
    </row>
  </sheetData>
  <hyperlinks>
    <hyperlink ref="F5" location="'My PF'!A1" display="My PF "/>
    <hyperlink ref="I5" location="'My Tax &amp; claim Status'!A1" display="My Tax and Claim Status"/>
    <hyperlink ref="C5" location="'My Salary '!A1" display="My Salary"/>
    <hyperlink ref="J8" location="'Main Options'!A1" display="BACK"/>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topLeftCell="A10" zoomScale="80" zoomScaleNormal="80" workbookViewId="0">
      <selection activeCell="L18" sqref="L18"/>
    </sheetView>
  </sheetViews>
  <sheetFormatPr defaultColWidth="9.109375" defaultRowHeight="14.4" x14ac:dyDescent="0.3"/>
  <cols>
    <col min="1" max="1" width="6.109375" style="1" customWidth="1"/>
    <col min="2" max="2" width="3.44140625" style="1" customWidth="1"/>
    <col min="3" max="3" width="19.33203125" style="2" bestFit="1" customWidth="1"/>
    <col min="4" max="4" width="9.109375" style="2"/>
    <col min="5" max="5" width="41.44140625" style="2" customWidth="1"/>
    <col min="6" max="6" width="9.109375" style="2"/>
    <col min="7" max="7" width="22.109375" style="2" customWidth="1"/>
    <col min="8" max="8" width="15.88671875" style="2" customWidth="1"/>
    <col min="9" max="9" width="25.5546875" style="2" customWidth="1"/>
    <col min="10" max="10" width="6.109375" style="2" customWidth="1"/>
    <col min="11" max="11" width="13.6640625" style="2" customWidth="1"/>
    <col min="12" max="12" width="13.33203125" style="2" bestFit="1" customWidth="1"/>
    <col min="13" max="13" width="9.109375" style="2"/>
    <col min="14" max="14" width="70.5546875" style="2" customWidth="1"/>
    <col min="15" max="15" width="42.33203125" style="2" bestFit="1" customWidth="1"/>
    <col min="16" max="16" width="9.109375" style="2"/>
    <col min="17" max="17" width="43.88671875" style="2" bestFit="1" customWidth="1"/>
    <col min="18" max="18" width="9.109375" style="2"/>
    <col min="19" max="19" width="51.6640625" style="2" bestFit="1" customWidth="1"/>
    <col min="20" max="16384" width="9.109375" style="2"/>
  </cols>
  <sheetData>
    <row r="1" spans="2:20" ht="15" thickBot="1" x14ac:dyDescent="0.35"/>
    <row r="2" spans="2:20" ht="30.6" thickBot="1" x14ac:dyDescent="0.45">
      <c r="B2" s="26"/>
      <c r="C2" s="43" t="s">
        <v>57</v>
      </c>
      <c r="D2" s="18"/>
      <c r="E2" s="18"/>
      <c r="F2" s="18"/>
      <c r="G2" s="18"/>
      <c r="H2" s="18"/>
      <c r="I2" s="18"/>
      <c r="J2" s="18"/>
      <c r="K2" s="18"/>
      <c r="L2" s="19"/>
      <c r="N2" s="144" t="s">
        <v>717</v>
      </c>
    </row>
    <row r="3" spans="2:20" ht="15" thickBot="1" x14ac:dyDescent="0.35">
      <c r="B3" s="27"/>
      <c r="C3" s="18"/>
      <c r="L3" s="21"/>
      <c r="P3" s="2" t="s">
        <v>599</v>
      </c>
      <c r="R3" s="2" t="s">
        <v>599</v>
      </c>
    </row>
    <row r="4" spans="2:20" ht="15" thickBot="1" x14ac:dyDescent="0.35">
      <c r="B4" s="27"/>
      <c r="C4" s="157" t="s">
        <v>4</v>
      </c>
      <c r="E4" s="3" t="s">
        <v>23</v>
      </c>
      <c r="G4" s="15" t="s">
        <v>27</v>
      </c>
      <c r="I4" s="9" t="s">
        <v>26</v>
      </c>
      <c r="K4" s="159" t="s">
        <v>26</v>
      </c>
      <c r="L4" s="21"/>
      <c r="N4" s="146" t="s">
        <v>596</v>
      </c>
      <c r="O4" s="2" t="s">
        <v>595</v>
      </c>
      <c r="P4" s="2" t="s">
        <v>592</v>
      </c>
      <c r="Q4" s="2" t="s">
        <v>598</v>
      </c>
      <c r="R4" s="2" t="s">
        <v>593</v>
      </c>
      <c r="S4" s="2" t="s">
        <v>645</v>
      </c>
      <c r="T4" s="2" t="s">
        <v>594</v>
      </c>
    </row>
    <row r="5" spans="2:20" ht="15" thickBot="1" x14ac:dyDescent="0.35">
      <c r="B5" s="27"/>
      <c r="C5" s="158"/>
      <c r="E5" s="3" t="s">
        <v>24</v>
      </c>
      <c r="G5" s="10" t="s">
        <v>25</v>
      </c>
      <c r="I5" s="8" t="s">
        <v>27</v>
      </c>
      <c r="K5" s="160"/>
      <c r="L5" s="21"/>
      <c r="N5" s="146" t="s">
        <v>597</v>
      </c>
      <c r="O5" s="2" t="s">
        <v>644</v>
      </c>
      <c r="P5" s="2" t="s">
        <v>592</v>
      </c>
      <c r="Q5" s="2" t="s">
        <v>598</v>
      </c>
      <c r="R5" s="2" t="s">
        <v>593</v>
      </c>
      <c r="S5" s="2" t="s">
        <v>645</v>
      </c>
      <c r="T5" s="2" t="s">
        <v>594</v>
      </c>
    </row>
    <row r="6" spans="2:20" ht="15" thickBot="1" x14ac:dyDescent="0.35">
      <c r="B6" s="27"/>
      <c r="C6" s="1"/>
      <c r="L6" s="21"/>
      <c r="N6" s="44"/>
    </row>
    <row r="7" spans="2:20" ht="28.5" customHeight="1" thickBot="1" x14ac:dyDescent="0.35">
      <c r="B7" s="27"/>
      <c r="C7" s="157" t="s">
        <v>64</v>
      </c>
      <c r="E7" s="42" t="s">
        <v>65</v>
      </c>
      <c r="G7" s="161" t="s">
        <v>43</v>
      </c>
      <c r="I7" s="163" t="s">
        <v>26</v>
      </c>
      <c r="L7" s="21"/>
      <c r="N7" s="146" t="s">
        <v>602</v>
      </c>
      <c r="O7" s="2" t="s">
        <v>646</v>
      </c>
      <c r="P7" s="2" t="s">
        <v>592</v>
      </c>
      <c r="Q7" s="2" t="s">
        <v>598</v>
      </c>
    </row>
    <row r="8" spans="2:20" ht="29.4" thickBot="1" x14ac:dyDescent="0.35">
      <c r="B8" s="27"/>
      <c r="C8" s="158"/>
      <c r="E8" s="10" t="s">
        <v>51</v>
      </c>
      <c r="G8" s="162"/>
      <c r="I8" s="164"/>
      <c r="L8" s="21"/>
      <c r="N8" s="146" t="s">
        <v>601</v>
      </c>
      <c r="O8" s="2" t="s">
        <v>647</v>
      </c>
      <c r="Q8" s="2" t="s">
        <v>598</v>
      </c>
    </row>
    <row r="9" spans="2:20" ht="15" thickBot="1" x14ac:dyDescent="0.35">
      <c r="B9" s="27"/>
      <c r="C9" s="59"/>
      <c r="G9" s="59"/>
      <c r="I9" s="59"/>
      <c r="L9" s="21"/>
      <c r="N9" s="44"/>
    </row>
    <row r="10" spans="2:20" ht="47.25" customHeight="1" thickBot="1" x14ac:dyDescent="0.35">
      <c r="B10" s="27"/>
      <c r="C10" s="12" t="s">
        <v>15</v>
      </c>
      <c r="E10" s="16" t="s">
        <v>29</v>
      </c>
      <c r="G10" s="7" t="s">
        <v>28</v>
      </c>
      <c r="I10" s="11" t="s">
        <v>30</v>
      </c>
      <c r="K10" s="62" t="s">
        <v>26</v>
      </c>
      <c r="L10" s="21"/>
      <c r="N10" s="146" t="s">
        <v>603</v>
      </c>
    </row>
    <row r="11" spans="2:20" ht="15" thickBot="1" x14ac:dyDescent="0.35">
      <c r="B11" s="27"/>
      <c r="C11" s="1"/>
      <c r="L11" s="21"/>
      <c r="N11" s="44"/>
    </row>
    <row r="12" spans="2:20" ht="45.75" customHeight="1" thickBot="1" x14ac:dyDescent="0.35">
      <c r="B12" s="27"/>
      <c r="C12" s="5" t="s">
        <v>11</v>
      </c>
      <c r="E12" s="6" t="s">
        <v>27</v>
      </c>
      <c r="G12" s="13" t="s">
        <v>26</v>
      </c>
      <c r="L12" s="21"/>
      <c r="N12" s="146" t="s">
        <v>606</v>
      </c>
    </row>
    <row r="13" spans="2:20" s="1" customFormat="1" ht="15" thickBot="1" x14ac:dyDescent="0.35">
      <c r="B13" s="27"/>
      <c r="D13" s="2"/>
      <c r="L13" s="28"/>
      <c r="N13" s="145"/>
    </row>
    <row r="14" spans="2:20" s="1" customFormat="1" ht="15" thickBot="1" x14ac:dyDescent="0.35">
      <c r="B14" s="27"/>
      <c r="C14" s="5" t="s">
        <v>19</v>
      </c>
      <c r="D14" s="2"/>
      <c r="E14" s="6" t="s">
        <v>27</v>
      </c>
      <c r="F14" s="2"/>
      <c r="G14" s="13" t="s">
        <v>26</v>
      </c>
      <c r="L14" s="28"/>
      <c r="N14" s="147" t="s">
        <v>604</v>
      </c>
    </row>
    <row r="15" spans="2:20" ht="15" thickBot="1" x14ac:dyDescent="0.35">
      <c r="B15" s="27"/>
      <c r="L15" s="21"/>
      <c r="N15" s="44"/>
    </row>
    <row r="16" spans="2:20" ht="43.8" thickBot="1" x14ac:dyDescent="0.35">
      <c r="B16" s="27"/>
      <c r="C16" s="5" t="s">
        <v>21</v>
      </c>
      <c r="E16" s="11" t="s">
        <v>58</v>
      </c>
      <c r="G16" s="13" t="s">
        <v>26</v>
      </c>
      <c r="L16" s="21"/>
      <c r="N16" s="146" t="s">
        <v>605</v>
      </c>
    </row>
    <row r="17" spans="2:14" ht="15" thickBot="1" x14ac:dyDescent="0.35">
      <c r="B17" s="27"/>
      <c r="L17" s="21"/>
      <c r="N17" s="44"/>
    </row>
    <row r="18" spans="2:14" ht="15" thickBot="1" x14ac:dyDescent="0.35">
      <c r="B18" s="29"/>
      <c r="C18" s="24"/>
      <c r="D18" s="24" t="s">
        <v>31</v>
      </c>
      <c r="E18" s="24"/>
      <c r="F18" s="24"/>
      <c r="G18" s="24"/>
      <c r="H18" s="4" t="s">
        <v>16</v>
      </c>
      <c r="I18" s="24"/>
      <c r="J18" s="24"/>
      <c r="K18" s="24"/>
      <c r="L18" s="30" t="s">
        <v>39</v>
      </c>
    </row>
  </sheetData>
  <mergeCells count="5">
    <mergeCell ref="C4:C5"/>
    <mergeCell ref="K4:K5"/>
    <mergeCell ref="C7:C8"/>
    <mergeCell ref="G7:G8"/>
    <mergeCell ref="I7:I8"/>
  </mergeCells>
  <hyperlinks>
    <hyperlink ref="L18" location="'Sub-Options'!A1" display="BACK"/>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2"/>
  <sheetViews>
    <sheetView workbookViewId="0">
      <selection activeCell="D3" sqref="D3"/>
    </sheetView>
  </sheetViews>
  <sheetFormatPr defaultColWidth="9.109375" defaultRowHeight="13.8" x14ac:dyDescent="0.3"/>
  <cols>
    <col min="1" max="1" width="2.5546875" style="67" customWidth="1"/>
    <col min="2" max="2" width="12.6640625" style="69" bestFit="1" customWidth="1"/>
    <col min="3" max="3" width="12.6640625" style="69" customWidth="1"/>
    <col min="4" max="5" width="29" style="67" customWidth="1"/>
    <col min="6" max="6" width="51.88671875" style="67" customWidth="1"/>
    <col min="7" max="7" width="80.6640625" style="68" customWidth="1"/>
    <col min="8" max="8" width="53.5546875" style="67" bestFit="1" customWidth="1"/>
    <col min="9" max="16384" width="9.109375" style="67"/>
  </cols>
  <sheetData>
    <row r="1" spans="2:8" ht="18.600000000000001" thickBot="1" x14ac:dyDescent="0.35">
      <c r="B1" s="76"/>
      <c r="C1" s="76"/>
      <c r="G1" s="30" t="s">
        <v>39</v>
      </c>
    </row>
    <row r="2" spans="2:8" ht="55.2" x14ac:dyDescent="0.3">
      <c r="B2" s="168" t="s">
        <v>8</v>
      </c>
      <c r="C2" s="100"/>
      <c r="D2" s="101" t="s">
        <v>168</v>
      </c>
      <c r="E2" s="102"/>
      <c r="F2" s="103" t="s">
        <v>167</v>
      </c>
      <c r="G2" s="104" t="s">
        <v>166</v>
      </c>
      <c r="H2" s="105"/>
    </row>
    <row r="3" spans="2:8" ht="69" x14ac:dyDescent="0.3">
      <c r="B3" s="165"/>
      <c r="C3" s="90"/>
      <c r="D3" s="91" t="s">
        <v>165</v>
      </c>
      <c r="E3" s="87"/>
      <c r="F3" s="74" t="s">
        <v>164</v>
      </c>
      <c r="G3" s="95" t="s">
        <v>163</v>
      </c>
      <c r="H3" s="106"/>
    </row>
    <row r="4" spans="2:8" ht="27.6" x14ac:dyDescent="0.3">
      <c r="B4" s="165"/>
      <c r="C4" s="90"/>
      <c r="D4" s="91" t="s">
        <v>162</v>
      </c>
      <c r="E4" s="87"/>
      <c r="F4" s="74" t="s">
        <v>161</v>
      </c>
      <c r="G4" s="95" t="s">
        <v>160</v>
      </c>
      <c r="H4" s="106"/>
    </row>
    <row r="5" spans="2:8" ht="82.8" x14ac:dyDescent="0.3">
      <c r="B5" s="165"/>
      <c r="C5" s="90"/>
      <c r="D5" s="91" t="s">
        <v>159</v>
      </c>
      <c r="E5" s="87"/>
      <c r="F5" s="74" t="s">
        <v>158</v>
      </c>
      <c r="G5" s="95" t="s">
        <v>157</v>
      </c>
      <c r="H5" s="106"/>
    </row>
    <row r="6" spans="2:8" x14ac:dyDescent="0.3">
      <c r="B6" s="165"/>
      <c r="C6" s="90"/>
      <c r="D6" s="92" t="s">
        <v>156</v>
      </c>
      <c r="F6" s="75" t="s">
        <v>155</v>
      </c>
      <c r="H6" s="106"/>
    </row>
    <row r="7" spans="2:8" ht="124.2" x14ac:dyDescent="0.3">
      <c r="B7" s="165" t="s">
        <v>154</v>
      </c>
      <c r="C7" s="90"/>
      <c r="D7" s="93" t="s">
        <v>153</v>
      </c>
      <c r="E7" s="88"/>
      <c r="F7" s="73" t="s">
        <v>152</v>
      </c>
      <c r="G7" s="96" t="s">
        <v>151</v>
      </c>
      <c r="H7" s="106"/>
    </row>
    <row r="8" spans="2:8" ht="82.8" x14ac:dyDescent="0.3">
      <c r="B8" s="165"/>
      <c r="C8" s="90"/>
      <c r="D8" s="91" t="s">
        <v>150</v>
      </c>
      <c r="E8" s="87"/>
      <c r="F8" s="73" t="s">
        <v>149</v>
      </c>
      <c r="G8" s="95" t="s">
        <v>148</v>
      </c>
      <c r="H8" s="106"/>
    </row>
    <row r="9" spans="2:8" ht="82.8" x14ac:dyDescent="0.3">
      <c r="B9" s="165"/>
      <c r="C9" s="90"/>
      <c r="D9" s="91" t="s">
        <v>63</v>
      </c>
      <c r="E9" s="87"/>
      <c r="F9" s="74" t="s">
        <v>147</v>
      </c>
      <c r="G9" s="97" t="s">
        <v>146</v>
      </c>
      <c r="H9" s="106"/>
    </row>
    <row r="10" spans="2:8" ht="124.2" x14ac:dyDescent="0.3">
      <c r="B10" s="165"/>
      <c r="C10" s="90"/>
      <c r="D10" s="91" t="s">
        <v>145</v>
      </c>
      <c r="E10" s="87"/>
      <c r="F10" s="74" t="s">
        <v>144</v>
      </c>
      <c r="G10" s="95" t="s">
        <v>143</v>
      </c>
      <c r="H10" s="106"/>
    </row>
    <row r="11" spans="2:8" ht="82.8" x14ac:dyDescent="0.3">
      <c r="B11" s="165"/>
      <c r="C11" s="90"/>
      <c r="D11" s="93" t="s">
        <v>142</v>
      </c>
      <c r="E11" s="88"/>
      <c r="F11" s="74" t="s">
        <v>141</v>
      </c>
      <c r="G11" s="95" t="s">
        <v>140</v>
      </c>
      <c r="H11" s="106"/>
    </row>
    <row r="12" spans="2:8" ht="234.6" x14ac:dyDescent="0.3">
      <c r="B12" s="165" t="s">
        <v>139</v>
      </c>
      <c r="C12" s="90"/>
      <c r="D12" s="91" t="s">
        <v>138</v>
      </c>
      <c r="E12" s="87"/>
      <c r="F12" s="74" t="s">
        <v>137</v>
      </c>
      <c r="G12" s="98" t="s">
        <v>136</v>
      </c>
      <c r="H12" s="106"/>
    </row>
    <row r="13" spans="2:8" ht="27.6" x14ac:dyDescent="0.3">
      <c r="B13" s="165"/>
      <c r="C13" s="90"/>
      <c r="D13" s="91" t="s">
        <v>135</v>
      </c>
      <c r="E13" s="87"/>
      <c r="F13" s="72" t="s">
        <v>134</v>
      </c>
      <c r="G13" s="99" t="s">
        <v>133</v>
      </c>
      <c r="H13" s="106"/>
    </row>
    <row r="14" spans="2:8" ht="124.2" x14ac:dyDescent="0.3">
      <c r="B14" s="165"/>
      <c r="C14" s="90"/>
      <c r="D14" s="91" t="s">
        <v>132</v>
      </c>
      <c r="E14" s="87"/>
      <c r="F14" s="72" t="s">
        <v>131</v>
      </c>
      <c r="G14" s="99" t="s">
        <v>130</v>
      </c>
      <c r="H14" s="106"/>
    </row>
    <row r="15" spans="2:8" ht="27.6" x14ac:dyDescent="0.3">
      <c r="B15" s="165"/>
      <c r="C15" s="90"/>
      <c r="D15" s="92" t="s">
        <v>129</v>
      </c>
      <c r="F15" s="72" t="s">
        <v>128</v>
      </c>
      <c r="G15" s="85" t="s">
        <v>127</v>
      </c>
      <c r="H15" s="106"/>
    </row>
    <row r="16" spans="2:8" ht="69" x14ac:dyDescent="0.3">
      <c r="B16" s="165" t="s">
        <v>126</v>
      </c>
      <c r="C16" s="90"/>
      <c r="D16" s="167" t="s">
        <v>125</v>
      </c>
      <c r="E16" s="69"/>
      <c r="F16" s="71" t="s">
        <v>124</v>
      </c>
      <c r="G16" s="86" t="s">
        <v>123</v>
      </c>
      <c r="H16" s="107" t="s">
        <v>122</v>
      </c>
    </row>
    <row r="17" spans="2:8" ht="151.80000000000001" x14ac:dyDescent="0.3">
      <c r="B17" s="165"/>
      <c r="C17" s="90"/>
      <c r="D17" s="167"/>
      <c r="E17" s="69"/>
      <c r="F17" s="71" t="s">
        <v>121</v>
      </c>
      <c r="G17" s="86" t="s">
        <v>120</v>
      </c>
      <c r="H17" s="107" t="s">
        <v>119</v>
      </c>
    </row>
    <row r="18" spans="2:8" ht="55.2" x14ac:dyDescent="0.3">
      <c r="B18" s="165"/>
      <c r="C18" s="90"/>
      <c r="D18" s="94" t="s">
        <v>118</v>
      </c>
      <c r="E18" s="69"/>
      <c r="F18" s="74" t="s">
        <v>117</v>
      </c>
      <c r="G18" s="97" t="s">
        <v>116</v>
      </c>
      <c r="H18" s="106"/>
    </row>
    <row r="19" spans="2:8" ht="55.2" x14ac:dyDescent="0.3">
      <c r="B19" s="165"/>
      <c r="C19" s="90"/>
      <c r="D19" s="91" t="s">
        <v>115</v>
      </c>
      <c r="E19" s="87"/>
      <c r="F19" s="72" t="s">
        <v>114</v>
      </c>
      <c r="G19" s="95" t="s">
        <v>113</v>
      </c>
      <c r="H19" s="106"/>
    </row>
    <row r="20" spans="2:8" ht="110.4" x14ac:dyDescent="0.3">
      <c r="B20" s="165" t="s">
        <v>72</v>
      </c>
      <c r="C20" s="90"/>
      <c r="D20" s="91" t="s">
        <v>112</v>
      </c>
      <c r="E20" s="87"/>
      <c r="F20" s="72" t="s">
        <v>111</v>
      </c>
      <c r="G20" s="95" t="s">
        <v>110</v>
      </c>
      <c r="H20" s="106"/>
    </row>
    <row r="21" spans="2:8" ht="69" x14ac:dyDescent="0.3">
      <c r="B21" s="165"/>
      <c r="C21" s="90"/>
      <c r="D21" s="91" t="s">
        <v>109</v>
      </c>
      <c r="E21" s="87"/>
      <c r="F21" s="72" t="s">
        <v>108</v>
      </c>
      <c r="G21" s="95" t="s">
        <v>107</v>
      </c>
      <c r="H21" s="106"/>
    </row>
    <row r="22" spans="2:8" ht="41.4" x14ac:dyDescent="0.3">
      <c r="B22" s="165"/>
      <c r="C22" s="90"/>
      <c r="D22" s="91" t="s">
        <v>106</v>
      </c>
      <c r="E22" s="87"/>
      <c r="F22" s="72" t="s">
        <v>105</v>
      </c>
      <c r="G22" s="95" t="s">
        <v>104</v>
      </c>
      <c r="H22" s="106"/>
    </row>
    <row r="23" spans="2:8" ht="69" x14ac:dyDescent="0.3">
      <c r="B23" s="165"/>
      <c r="C23" s="90"/>
      <c r="D23" s="93" t="s">
        <v>103</v>
      </c>
      <c r="E23" s="88"/>
      <c r="F23" s="72" t="s">
        <v>102</v>
      </c>
      <c r="G23" s="95" t="s">
        <v>101</v>
      </c>
      <c r="H23" s="106"/>
    </row>
    <row r="24" spans="2:8" ht="110.4" x14ac:dyDescent="0.3">
      <c r="B24" s="165"/>
      <c r="C24" s="90"/>
      <c r="D24" s="91" t="s">
        <v>100</v>
      </c>
      <c r="E24" s="87"/>
      <c r="F24" s="72" t="s">
        <v>99</v>
      </c>
      <c r="G24" s="95" t="s">
        <v>98</v>
      </c>
      <c r="H24" s="106"/>
    </row>
    <row r="25" spans="2:8" ht="96.6" x14ac:dyDescent="0.3">
      <c r="B25" s="165" t="s">
        <v>97</v>
      </c>
      <c r="C25" s="90"/>
      <c r="D25" s="91" t="s">
        <v>96</v>
      </c>
      <c r="E25" s="87"/>
      <c r="F25" s="74" t="s">
        <v>95</v>
      </c>
      <c r="G25" s="95" t="s">
        <v>94</v>
      </c>
      <c r="H25" s="106"/>
    </row>
    <row r="26" spans="2:8" ht="110.4" x14ac:dyDescent="0.3">
      <c r="B26" s="165"/>
      <c r="C26" s="90"/>
      <c r="D26" s="92" t="s">
        <v>543</v>
      </c>
      <c r="E26" s="89"/>
      <c r="F26" s="72" t="s">
        <v>93</v>
      </c>
      <c r="G26" s="95" t="s">
        <v>92</v>
      </c>
      <c r="H26" s="106"/>
    </row>
    <row r="27" spans="2:8" ht="69" x14ac:dyDescent="0.3">
      <c r="B27" s="165"/>
      <c r="C27" s="90"/>
      <c r="D27" s="92" t="s">
        <v>544</v>
      </c>
      <c r="E27" s="89"/>
      <c r="F27" s="74" t="s">
        <v>91</v>
      </c>
      <c r="G27" s="95" t="s">
        <v>90</v>
      </c>
      <c r="H27" s="106"/>
    </row>
    <row r="28" spans="2:8" ht="41.4" x14ac:dyDescent="0.3">
      <c r="B28" s="165" t="s">
        <v>89</v>
      </c>
      <c r="C28" s="90"/>
      <c r="D28" s="91" t="s">
        <v>88</v>
      </c>
      <c r="E28" s="87"/>
      <c r="F28" s="74" t="s">
        <v>87</v>
      </c>
      <c r="G28" s="95" t="s">
        <v>86</v>
      </c>
      <c r="H28" s="106"/>
    </row>
    <row r="29" spans="2:8" ht="179.4" x14ac:dyDescent="0.3">
      <c r="B29" s="165"/>
      <c r="C29" s="90"/>
      <c r="D29" s="94" t="s">
        <v>85</v>
      </c>
      <c r="E29" s="69"/>
      <c r="F29" s="70" t="s">
        <v>84</v>
      </c>
      <c r="G29" s="95" t="s">
        <v>83</v>
      </c>
      <c r="H29" s="106"/>
    </row>
    <row r="30" spans="2:8" ht="27.6" x14ac:dyDescent="0.3">
      <c r="B30" s="165"/>
      <c r="C30" s="90"/>
      <c r="D30" s="91" t="s">
        <v>82</v>
      </c>
      <c r="E30" s="87"/>
      <c r="F30" s="74" t="s">
        <v>81</v>
      </c>
      <c r="G30" s="95" t="s">
        <v>80</v>
      </c>
      <c r="H30" s="106"/>
    </row>
    <row r="31" spans="2:8" ht="151.80000000000001" x14ac:dyDescent="0.3">
      <c r="B31" s="165" t="s">
        <v>79</v>
      </c>
      <c r="C31" s="90"/>
      <c r="D31" s="93" t="s">
        <v>78</v>
      </c>
      <c r="E31" s="88"/>
      <c r="F31" s="72" t="s">
        <v>77</v>
      </c>
      <c r="G31" s="95" t="s">
        <v>76</v>
      </c>
      <c r="H31" s="106"/>
    </row>
    <row r="32" spans="2:8" ht="124.8" thickBot="1" x14ac:dyDescent="0.35">
      <c r="B32" s="166"/>
      <c r="C32" s="108"/>
      <c r="D32" s="109" t="s">
        <v>75</v>
      </c>
      <c r="E32" s="110"/>
      <c r="F32" s="111" t="s">
        <v>74</v>
      </c>
      <c r="G32" s="112" t="s">
        <v>73</v>
      </c>
      <c r="H32" s="113"/>
    </row>
  </sheetData>
  <mergeCells count="9">
    <mergeCell ref="B25:B27"/>
    <mergeCell ref="B28:B30"/>
    <mergeCell ref="B31:B32"/>
    <mergeCell ref="D16:D17"/>
    <mergeCell ref="B2:B6"/>
    <mergeCell ref="B7:B11"/>
    <mergeCell ref="B12:B15"/>
    <mergeCell ref="B20:B24"/>
    <mergeCell ref="B16:B19"/>
  </mergeCells>
  <hyperlinks>
    <hyperlink ref="G1" location="'Sub-Options'!A1" display="BACK"/>
  </hyperlink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3"/>
  <sheetViews>
    <sheetView topLeftCell="J1" zoomScale="89" zoomScaleNormal="89" workbookViewId="0">
      <selection activeCell="L1" sqref="L1"/>
    </sheetView>
  </sheetViews>
  <sheetFormatPr defaultColWidth="9.109375" defaultRowHeight="14.4" x14ac:dyDescent="0.3"/>
  <cols>
    <col min="1" max="2" width="9.109375" style="2"/>
    <col min="3" max="3" width="25.5546875" style="1" customWidth="1"/>
    <col min="4" max="4" width="9.109375" style="2"/>
    <col min="5" max="5" width="35.109375" style="2" customWidth="1"/>
    <col min="6" max="6" width="13.109375" style="2" bestFit="1" customWidth="1"/>
    <col min="7" max="7" width="30.44140625" style="2" customWidth="1"/>
    <col min="8" max="8" width="9.109375" style="2"/>
    <col min="9" max="9" width="14.5546875" style="2" customWidth="1"/>
    <col min="10" max="11" width="9.109375" style="2"/>
    <col min="12" max="12" width="98.88671875" style="2" customWidth="1"/>
    <col min="13" max="16384" width="9.109375" style="2"/>
  </cols>
  <sheetData>
    <row r="1" spans="2:12" ht="30.6" thickBot="1" x14ac:dyDescent="0.45">
      <c r="B1" s="17"/>
      <c r="C1" s="43" t="s">
        <v>57</v>
      </c>
      <c r="D1" s="18"/>
      <c r="E1" s="18"/>
      <c r="F1" s="18"/>
      <c r="G1" s="18"/>
      <c r="H1" s="18"/>
      <c r="I1" s="18"/>
      <c r="J1" s="19"/>
      <c r="L1" s="144" t="s">
        <v>717</v>
      </c>
    </row>
    <row r="2" spans="2:12" ht="15" thickBot="1" x14ac:dyDescent="0.35">
      <c r="B2" s="20"/>
      <c r="C2" s="2"/>
      <c r="J2" s="21"/>
    </row>
    <row r="3" spans="2:12" ht="43.8" thickBot="1" x14ac:dyDescent="0.35">
      <c r="B3" s="20"/>
      <c r="C3" s="12" t="s">
        <v>6</v>
      </c>
      <c r="E3" s="39" t="s">
        <v>62</v>
      </c>
      <c r="G3" s="6" t="s">
        <v>27</v>
      </c>
      <c r="I3" s="9" t="s">
        <v>26</v>
      </c>
      <c r="J3" s="21"/>
      <c r="L3" s="146" t="s">
        <v>612</v>
      </c>
    </row>
    <row r="4" spans="2:12" ht="15" thickBot="1" x14ac:dyDescent="0.35">
      <c r="B4" s="20"/>
      <c r="J4" s="21"/>
    </row>
    <row r="5" spans="2:12" ht="29.4" thickBot="1" x14ac:dyDescent="0.35">
      <c r="B5" s="20"/>
      <c r="C5" s="157" t="s">
        <v>9</v>
      </c>
      <c r="E5" s="31" t="s">
        <v>40</v>
      </c>
      <c r="G5" s="161" t="s">
        <v>43</v>
      </c>
      <c r="I5" s="172" t="s">
        <v>26</v>
      </c>
      <c r="J5" s="21"/>
      <c r="L5" s="146" t="s">
        <v>607</v>
      </c>
    </row>
    <row r="6" spans="2:12" ht="43.8" thickBot="1" x14ac:dyDescent="0.35">
      <c r="B6" s="20"/>
      <c r="C6" s="169"/>
      <c r="E6" s="10" t="s">
        <v>41</v>
      </c>
      <c r="G6" s="175"/>
      <c r="I6" s="173"/>
      <c r="J6" s="21"/>
      <c r="L6" s="146" t="s">
        <v>663</v>
      </c>
    </row>
    <row r="7" spans="2:12" ht="29.4" thickBot="1" x14ac:dyDescent="0.35">
      <c r="B7" s="20"/>
      <c r="C7" s="169"/>
      <c r="E7" s="32" t="s">
        <v>42</v>
      </c>
      <c r="G7" s="162"/>
      <c r="I7" s="174"/>
      <c r="J7" s="21"/>
      <c r="L7" s="146" t="s">
        <v>664</v>
      </c>
    </row>
    <row r="8" spans="2:12" ht="43.5" customHeight="1" thickBot="1" x14ac:dyDescent="0.35">
      <c r="B8" s="20"/>
      <c r="C8" s="158"/>
      <c r="E8" s="33" t="s">
        <v>44</v>
      </c>
      <c r="G8" s="11" t="s">
        <v>45</v>
      </c>
      <c r="I8" s="34" t="s">
        <v>26</v>
      </c>
      <c r="J8" s="21"/>
      <c r="L8" s="146" t="s">
        <v>608</v>
      </c>
    </row>
    <row r="9" spans="2:12" ht="13.5" customHeight="1" thickBot="1" x14ac:dyDescent="0.35">
      <c r="B9" s="20"/>
      <c r="J9" s="21"/>
    </row>
    <row r="10" spans="2:12" ht="15" thickBot="1" x14ac:dyDescent="0.35">
      <c r="B10" s="20"/>
      <c r="C10" s="157" t="s">
        <v>13</v>
      </c>
      <c r="E10" s="36" t="s">
        <v>46</v>
      </c>
      <c r="G10" s="161" t="s">
        <v>43</v>
      </c>
      <c r="I10" s="176" t="s">
        <v>26</v>
      </c>
      <c r="J10" s="21"/>
      <c r="L10" s="146" t="s">
        <v>615</v>
      </c>
    </row>
    <row r="11" spans="2:12" ht="15" thickBot="1" x14ac:dyDescent="0.35">
      <c r="B11" s="20"/>
      <c r="C11" s="169"/>
      <c r="E11" s="33" t="s">
        <v>47</v>
      </c>
      <c r="G11" s="175"/>
      <c r="I11" s="177"/>
      <c r="J11" s="21"/>
      <c r="L11" s="146" t="s">
        <v>609</v>
      </c>
    </row>
    <row r="12" spans="2:12" ht="29.4" thickBot="1" x14ac:dyDescent="0.35">
      <c r="B12" s="20"/>
      <c r="C12" s="169"/>
      <c r="E12" s="35" t="s">
        <v>48</v>
      </c>
      <c r="G12" s="162"/>
      <c r="I12" s="178"/>
      <c r="J12" s="21"/>
      <c r="L12" s="146" t="s">
        <v>610</v>
      </c>
    </row>
    <row r="13" spans="2:12" ht="47.25" customHeight="1" thickBot="1" x14ac:dyDescent="0.35">
      <c r="B13" s="20"/>
      <c r="C13" s="158"/>
      <c r="E13" s="40" t="s">
        <v>49</v>
      </c>
      <c r="G13" s="66" t="s">
        <v>45</v>
      </c>
      <c r="I13" s="41" t="s">
        <v>26</v>
      </c>
      <c r="J13" s="21"/>
      <c r="L13" s="146" t="s">
        <v>614</v>
      </c>
    </row>
    <row r="14" spans="2:12" ht="15" thickBot="1" x14ac:dyDescent="0.35">
      <c r="B14" s="20"/>
      <c r="E14" s="37"/>
      <c r="J14" s="21"/>
      <c r="L14" s="155"/>
    </row>
    <row r="15" spans="2:12" ht="43.8" thickBot="1" x14ac:dyDescent="0.35">
      <c r="B15" s="20"/>
      <c r="C15" s="170" t="s">
        <v>18</v>
      </c>
      <c r="E15" s="42" t="s">
        <v>50</v>
      </c>
      <c r="G15" s="11" t="s">
        <v>45</v>
      </c>
      <c r="I15" s="163" t="s">
        <v>26</v>
      </c>
      <c r="J15" s="21"/>
      <c r="L15" s="146" t="s">
        <v>611</v>
      </c>
    </row>
    <row r="16" spans="2:12" ht="29.4" thickBot="1" x14ac:dyDescent="0.35">
      <c r="B16" s="20"/>
      <c r="C16" s="171"/>
      <c r="E16" s="10" t="s">
        <v>67</v>
      </c>
      <c r="G16" s="61" t="s">
        <v>66</v>
      </c>
      <c r="I16" s="164"/>
      <c r="J16" s="21"/>
      <c r="L16" s="146" t="s">
        <v>613</v>
      </c>
    </row>
    <row r="17" spans="2:12" x14ac:dyDescent="0.3">
      <c r="B17" s="20"/>
      <c r="J17" s="21"/>
      <c r="L17" s="155"/>
    </row>
    <row r="18" spans="2:12" x14ac:dyDescent="0.3">
      <c r="B18" s="20"/>
      <c r="G18" s="60"/>
      <c r="J18" s="21"/>
      <c r="L18" s="155"/>
    </row>
    <row r="19" spans="2:12" ht="15" thickBot="1" x14ac:dyDescent="0.35">
      <c r="B19" s="20"/>
      <c r="J19" s="21"/>
      <c r="L19" s="155"/>
    </row>
    <row r="20" spans="2:12" ht="29.4" thickBot="1" x14ac:dyDescent="0.35">
      <c r="B20" s="20"/>
      <c r="C20" s="3" t="s">
        <v>22</v>
      </c>
      <c r="E20" s="11" t="s">
        <v>52</v>
      </c>
      <c r="G20" s="38" t="s">
        <v>26</v>
      </c>
      <c r="J20" s="21"/>
      <c r="L20" s="155" t="s">
        <v>616</v>
      </c>
    </row>
    <row r="21" spans="2:12" ht="15" thickBot="1" x14ac:dyDescent="0.35">
      <c r="B21" s="20"/>
      <c r="J21" s="21"/>
      <c r="L21" s="155"/>
    </row>
    <row r="22" spans="2:12" ht="15" thickBot="1" x14ac:dyDescent="0.35">
      <c r="B22" s="20"/>
      <c r="C22" s="2" t="s">
        <v>31</v>
      </c>
      <c r="F22" s="4" t="s">
        <v>16</v>
      </c>
      <c r="I22" s="30" t="s">
        <v>39</v>
      </c>
      <c r="J22" s="21"/>
      <c r="L22" s="155"/>
    </row>
    <row r="23" spans="2:12" ht="15" thickBot="1" x14ac:dyDescent="0.35">
      <c r="B23" s="22"/>
      <c r="C23" s="23"/>
      <c r="D23" s="24"/>
      <c r="E23" s="24"/>
      <c r="F23" s="24"/>
      <c r="G23" s="24"/>
      <c r="H23" s="24"/>
      <c r="I23" s="24"/>
      <c r="J23" s="25"/>
      <c r="L23" s="156"/>
    </row>
  </sheetData>
  <mergeCells count="8">
    <mergeCell ref="C10:C13"/>
    <mergeCell ref="C15:C16"/>
    <mergeCell ref="I15:I16"/>
    <mergeCell ref="I5:I7"/>
    <mergeCell ref="G5:G7"/>
    <mergeCell ref="C5:C8"/>
    <mergeCell ref="G10:G12"/>
    <mergeCell ref="I10:I12"/>
  </mergeCells>
  <hyperlinks>
    <hyperlink ref="I22" location="'Sub-Options'!A1" display="BACK"/>
  </hyperlink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7"/>
  <sheetViews>
    <sheetView topLeftCell="G1" workbookViewId="0">
      <selection activeCell="L2" sqref="L2"/>
    </sheetView>
  </sheetViews>
  <sheetFormatPr defaultColWidth="9.109375" defaultRowHeight="14.4" x14ac:dyDescent="0.3"/>
  <cols>
    <col min="1" max="2" width="9.109375" style="2"/>
    <col min="3" max="3" width="20" style="1" customWidth="1"/>
    <col min="4" max="4" width="10.33203125" style="2" bestFit="1" customWidth="1"/>
    <col min="5" max="5" width="10" style="2" bestFit="1" customWidth="1"/>
    <col min="6" max="6" width="11.109375" style="2" customWidth="1"/>
    <col min="7" max="7" width="16.33203125" style="2" customWidth="1"/>
    <col min="8" max="8" width="13.109375" style="2" customWidth="1"/>
    <col min="9" max="9" width="12.44140625" style="2" bestFit="1" customWidth="1"/>
    <col min="10" max="10" width="52.88671875" style="2" customWidth="1"/>
    <col min="11" max="11" width="9.109375" style="2"/>
    <col min="12" max="12" width="77.44140625" style="2" bestFit="1" customWidth="1"/>
    <col min="13" max="16384" width="9.109375" style="2"/>
  </cols>
  <sheetData>
    <row r="1" spans="2:12" ht="15" thickBot="1" x14ac:dyDescent="0.35"/>
    <row r="2" spans="2:12" ht="30.6" thickBot="1" x14ac:dyDescent="0.45">
      <c r="B2" s="17"/>
      <c r="C2" s="43" t="s">
        <v>57</v>
      </c>
      <c r="D2" s="18"/>
      <c r="E2" s="18"/>
      <c r="F2" s="18"/>
      <c r="G2" s="18"/>
      <c r="H2" s="18"/>
      <c r="I2" s="18"/>
      <c r="J2" s="63" t="s">
        <v>32</v>
      </c>
      <c r="L2" s="144" t="s">
        <v>717</v>
      </c>
    </row>
    <row r="3" spans="2:12" ht="15" thickBot="1" x14ac:dyDescent="0.35">
      <c r="B3" s="20"/>
      <c r="C3" s="44"/>
      <c r="J3" s="21"/>
    </row>
    <row r="4" spans="2:12" ht="29.4" thickBot="1" x14ac:dyDescent="0.35">
      <c r="B4" s="20"/>
      <c r="C4" s="12" t="s">
        <v>5</v>
      </c>
      <c r="E4" s="6" t="s">
        <v>27</v>
      </c>
      <c r="G4" s="9" t="s">
        <v>26</v>
      </c>
      <c r="J4" s="64" t="s">
        <v>33</v>
      </c>
      <c r="L4" s="136" t="s">
        <v>617</v>
      </c>
    </row>
    <row r="5" spans="2:12" ht="15" thickBot="1" x14ac:dyDescent="0.35">
      <c r="B5" s="20"/>
      <c r="J5" s="65"/>
    </row>
    <row r="6" spans="2:12" ht="15" thickBot="1" x14ac:dyDescent="0.35">
      <c r="B6" s="20"/>
      <c r="C6" s="157" t="s">
        <v>68</v>
      </c>
      <c r="E6" s="3" t="s">
        <v>71</v>
      </c>
      <c r="G6" s="6" t="s">
        <v>27</v>
      </c>
      <c r="I6" s="9" t="s">
        <v>26</v>
      </c>
      <c r="J6" s="65" t="s">
        <v>34</v>
      </c>
      <c r="L6" s="136" t="s">
        <v>71</v>
      </c>
    </row>
    <row r="7" spans="2:12" ht="15" thickBot="1" x14ac:dyDescent="0.35">
      <c r="B7" s="20"/>
      <c r="C7" s="158"/>
      <c r="E7" s="3" t="s">
        <v>12</v>
      </c>
      <c r="G7" s="6" t="s">
        <v>27</v>
      </c>
      <c r="I7" s="9" t="s">
        <v>26</v>
      </c>
      <c r="J7" s="65" t="s">
        <v>35</v>
      </c>
      <c r="L7" s="136" t="s">
        <v>618</v>
      </c>
    </row>
    <row r="8" spans="2:12" ht="15" thickBot="1" x14ac:dyDescent="0.35">
      <c r="B8" s="20"/>
      <c r="E8" s="153" t="s">
        <v>473</v>
      </c>
      <c r="J8" s="136"/>
    </row>
    <row r="9" spans="2:12" ht="15" thickBot="1" x14ac:dyDescent="0.35">
      <c r="B9" s="20"/>
      <c r="J9" s="65"/>
    </row>
    <row r="10" spans="2:12" ht="15" thickBot="1" x14ac:dyDescent="0.35">
      <c r="B10" s="20"/>
      <c r="C10" s="3" t="s">
        <v>17</v>
      </c>
      <c r="E10" s="6" t="s">
        <v>27</v>
      </c>
      <c r="G10" s="9" t="s">
        <v>26</v>
      </c>
      <c r="J10" s="65" t="s">
        <v>36</v>
      </c>
      <c r="L10" s="136" t="s">
        <v>619</v>
      </c>
    </row>
    <row r="11" spans="2:12" ht="15" thickBot="1" x14ac:dyDescent="0.35">
      <c r="B11" s="20"/>
      <c r="J11" s="65"/>
    </row>
    <row r="12" spans="2:12" ht="15" thickBot="1" x14ac:dyDescent="0.35">
      <c r="B12" s="20"/>
      <c r="C12" s="3" t="s">
        <v>20</v>
      </c>
      <c r="E12" s="6" t="s">
        <v>27</v>
      </c>
      <c r="G12" s="9" t="s">
        <v>26</v>
      </c>
      <c r="J12" s="65" t="s">
        <v>38</v>
      </c>
      <c r="L12" s="136" t="s">
        <v>621</v>
      </c>
    </row>
    <row r="13" spans="2:12" ht="15" thickBot="1" x14ac:dyDescent="0.35">
      <c r="B13" s="20"/>
      <c r="J13" s="65"/>
    </row>
    <row r="14" spans="2:12" ht="15" thickBot="1" x14ac:dyDescent="0.35">
      <c r="B14" s="20"/>
      <c r="C14" s="3" t="s">
        <v>72</v>
      </c>
      <c r="E14" s="6" t="s">
        <v>27</v>
      </c>
      <c r="G14" s="9" t="s">
        <v>26</v>
      </c>
      <c r="J14" s="65" t="s">
        <v>37</v>
      </c>
      <c r="L14" s="136" t="s">
        <v>620</v>
      </c>
    </row>
    <row r="15" spans="2:12" x14ac:dyDescent="0.3">
      <c r="B15" s="20"/>
      <c r="J15" s="21"/>
    </row>
    <row r="16" spans="2:12" ht="15" thickBot="1" x14ac:dyDescent="0.35">
      <c r="B16" s="20"/>
      <c r="J16" s="21"/>
    </row>
    <row r="17" spans="2:10" ht="15" thickBot="1" x14ac:dyDescent="0.35">
      <c r="B17" s="22"/>
      <c r="C17" s="24" t="s">
        <v>31</v>
      </c>
      <c r="D17" s="24"/>
      <c r="E17" s="24"/>
      <c r="F17" s="24"/>
      <c r="G17" s="24"/>
      <c r="H17" s="4" t="s">
        <v>16</v>
      </c>
      <c r="I17" s="24"/>
      <c r="J17" s="30" t="s">
        <v>39</v>
      </c>
    </row>
  </sheetData>
  <mergeCells count="1">
    <mergeCell ref="C6:C7"/>
  </mergeCells>
  <hyperlinks>
    <hyperlink ref="J17" location="'Main Options'!A1" display="BACK"/>
  </hyperlink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N12"/>
  <sheetViews>
    <sheetView workbookViewId="0">
      <selection activeCell="L11" sqref="L11"/>
    </sheetView>
  </sheetViews>
  <sheetFormatPr defaultColWidth="9.109375" defaultRowHeight="14.4" x14ac:dyDescent="0.3"/>
  <cols>
    <col min="1" max="2" width="9.109375" style="2"/>
    <col min="3" max="3" width="23.5546875" style="1" customWidth="1"/>
    <col min="4" max="4" width="13.109375" style="2" bestFit="1" customWidth="1"/>
    <col min="5" max="5" width="22" style="2" customWidth="1"/>
    <col min="6" max="6" width="9.109375" style="2"/>
    <col min="7" max="8" width="13.109375" style="2" bestFit="1" customWidth="1"/>
    <col min="9" max="9" width="12" style="2" bestFit="1" customWidth="1"/>
    <col min="10" max="13" width="9.109375" style="2"/>
    <col min="14" max="14" width="64.109375" style="2" customWidth="1"/>
    <col min="15" max="16384" width="9.109375" style="2"/>
  </cols>
  <sheetData>
    <row r="1" spans="3:14" ht="15" thickBot="1" x14ac:dyDescent="0.35"/>
    <row r="2" spans="3:14" ht="30.6" thickBot="1" x14ac:dyDescent="0.45">
      <c r="C2" s="43" t="s">
        <v>57</v>
      </c>
      <c r="D2" s="18"/>
      <c r="E2" s="18"/>
      <c r="F2" s="18"/>
      <c r="G2" s="18"/>
      <c r="H2" s="18"/>
      <c r="I2" s="18"/>
      <c r="J2" s="18"/>
      <c r="K2" s="18"/>
      <c r="L2" s="19"/>
      <c r="N2" s="144" t="s">
        <v>717</v>
      </c>
    </row>
    <row r="3" spans="3:14" ht="36" customHeight="1" thickBot="1" x14ac:dyDescent="0.35">
      <c r="C3" s="45" t="s">
        <v>7</v>
      </c>
      <c r="E3" s="11" t="s">
        <v>53</v>
      </c>
      <c r="G3" s="14" t="s">
        <v>43</v>
      </c>
      <c r="I3" s="46" t="s">
        <v>54</v>
      </c>
      <c r="L3" s="21"/>
      <c r="N3" s="146" t="s">
        <v>622</v>
      </c>
    </row>
    <row r="4" spans="3:14" ht="15" thickBot="1" x14ac:dyDescent="0.35">
      <c r="C4" s="27"/>
      <c r="L4" s="21"/>
    </row>
    <row r="5" spans="3:14" ht="29.4" thickBot="1" x14ac:dyDescent="0.35">
      <c r="C5" s="45" t="s">
        <v>10</v>
      </c>
      <c r="E5" s="11" t="s">
        <v>55</v>
      </c>
      <c r="G5" s="14" t="s">
        <v>43</v>
      </c>
      <c r="I5" s="46" t="s">
        <v>54</v>
      </c>
      <c r="L5" s="21"/>
      <c r="N5" s="136" t="s">
        <v>625</v>
      </c>
    </row>
    <row r="6" spans="3:14" ht="15" thickBot="1" x14ac:dyDescent="0.35">
      <c r="C6" s="27"/>
      <c r="L6" s="21"/>
    </row>
    <row r="7" spans="3:14" ht="43.8" thickBot="1" x14ac:dyDescent="0.35">
      <c r="C7" s="45" t="s">
        <v>14</v>
      </c>
      <c r="E7" s="11" t="s">
        <v>56</v>
      </c>
      <c r="G7" s="14" t="s">
        <v>43</v>
      </c>
      <c r="I7" s="46" t="s">
        <v>54</v>
      </c>
      <c r="L7" s="21"/>
      <c r="N7" s="136" t="s">
        <v>626</v>
      </c>
    </row>
    <row r="8" spans="3:14" x14ac:dyDescent="0.3">
      <c r="C8" s="27"/>
      <c r="L8" s="21"/>
    </row>
    <row r="9" spans="3:14" x14ac:dyDescent="0.3">
      <c r="C9" s="27"/>
      <c r="L9" s="21"/>
    </row>
    <row r="10" spans="3:14" ht="15" thickBot="1" x14ac:dyDescent="0.35">
      <c r="C10" s="27"/>
      <c r="L10" s="21"/>
    </row>
    <row r="11" spans="3:14" ht="15" thickBot="1" x14ac:dyDescent="0.35">
      <c r="C11" s="20" t="s">
        <v>31</v>
      </c>
      <c r="G11" s="4" t="s">
        <v>16</v>
      </c>
      <c r="L11" s="30" t="s">
        <v>39</v>
      </c>
    </row>
    <row r="12" spans="3:14" ht="15" thickBot="1" x14ac:dyDescent="0.35">
      <c r="C12" s="29"/>
      <c r="D12" s="24"/>
      <c r="E12" s="24"/>
      <c r="F12" s="24"/>
      <c r="G12" s="24"/>
      <c r="H12" s="24"/>
      <c r="I12" s="24"/>
      <c r="J12" s="24"/>
      <c r="K12" s="24"/>
      <c r="L12" s="25"/>
    </row>
  </sheetData>
  <hyperlinks>
    <hyperlink ref="L11" location="'Main Options'!A1" display="BACK"/>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6"/>
  <sheetViews>
    <sheetView workbookViewId="0">
      <pane ySplit="2" topLeftCell="A3" activePane="bottomLeft" state="frozen"/>
      <selection pane="bottomLeft" activeCell="B3" sqref="B3"/>
    </sheetView>
  </sheetViews>
  <sheetFormatPr defaultColWidth="9.109375" defaultRowHeight="14.4" x14ac:dyDescent="0.3"/>
  <cols>
    <col min="1" max="1" width="5.5546875" style="77" bestFit="1" customWidth="1"/>
    <col min="2" max="2" width="32.88671875" style="77" bestFit="1" customWidth="1"/>
    <col min="3" max="3" width="26.109375" style="77" bestFit="1" customWidth="1"/>
    <col min="4" max="4" width="51.6640625" style="77" customWidth="1"/>
    <col min="5" max="5" width="83.109375" style="78" bestFit="1" customWidth="1"/>
    <col min="6" max="16384" width="9.109375" style="77"/>
  </cols>
  <sheetData>
    <row r="1" spans="1:6" s="83" customFormat="1" ht="15" thickBot="1" x14ac:dyDescent="0.35">
      <c r="E1" s="30" t="s">
        <v>39</v>
      </c>
    </row>
    <row r="2" spans="1:6" s="83" customFormat="1" x14ac:dyDescent="0.3">
      <c r="A2" s="114" t="s">
        <v>549</v>
      </c>
      <c r="B2" s="134" t="s">
        <v>358</v>
      </c>
      <c r="C2" s="115" t="s">
        <v>550</v>
      </c>
      <c r="D2" s="116" t="s">
        <v>478</v>
      </c>
      <c r="E2" s="116" t="s">
        <v>477</v>
      </c>
      <c r="F2" s="84"/>
    </row>
    <row r="3" spans="1:6" ht="144" x14ac:dyDescent="0.3">
      <c r="A3" s="120">
        <v>1</v>
      </c>
      <c r="B3" s="79" t="s">
        <v>349</v>
      </c>
      <c r="C3" s="79" t="s">
        <v>332</v>
      </c>
      <c r="D3" s="79" t="s">
        <v>357</v>
      </c>
      <c r="E3" s="80" t="s">
        <v>356</v>
      </c>
      <c r="F3" s="79"/>
    </row>
    <row r="4" spans="1:6" ht="72" x14ac:dyDescent="0.3">
      <c r="A4" s="120">
        <f>A3+1</f>
        <v>2</v>
      </c>
      <c r="B4" s="79" t="s">
        <v>349</v>
      </c>
      <c r="C4" s="79" t="s">
        <v>327</v>
      </c>
      <c r="D4" s="79" t="s">
        <v>355</v>
      </c>
      <c r="E4" s="80" t="s">
        <v>354</v>
      </c>
      <c r="F4" s="79"/>
    </row>
    <row r="5" spans="1:6" ht="28.8" x14ac:dyDescent="0.3">
      <c r="A5" s="120">
        <f t="shared" ref="A5:A68" si="0">A4+1</f>
        <v>3</v>
      </c>
      <c r="B5" s="79" t="s">
        <v>349</v>
      </c>
      <c r="C5" s="79" t="s">
        <v>627</v>
      </c>
      <c r="D5" s="79" t="s">
        <v>353</v>
      </c>
      <c r="E5" s="80" t="s">
        <v>352</v>
      </c>
      <c r="F5" s="79"/>
    </row>
    <row r="6" spans="1:6" ht="43.2" x14ac:dyDescent="0.3">
      <c r="A6" s="120">
        <f t="shared" si="0"/>
        <v>4</v>
      </c>
      <c r="B6" s="79" t="s">
        <v>349</v>
      </c>
      <c r="C6" s="79" t="s">
        <v>628</v>
      </c>
      <c r="D6" s="79" t="s">
        <v>351</v>
      </c>
      <c r="E6" s="80" t="s">
        <v>350</v>
      </c>
      <c r="F6" s="79"/>
    </row>
    <row r="7" spans="1:6" ht="57.6" x14ac:dyDescent="0.3">
      <c r="A7" s="120">
        <f t="shared" si="0"/>
        <v>5</v>
      </c>
      <c r="B7" s="79" t="s">
        <v>349</v>
      </c>
      <c r="C7" s="79" t="s">
        <v>629</v>
      </c>
      <c r="D7" s="79" t="s">
        <v>348</v>
      </c>
      <c r="E7" s="80" t="s">
        <v>347</v>
      </c>
      <c r="F7" s="79"/>
    </row>
    <row r="8" spans="1:6" ht="28.8" x14ac:dyDescent="0.3">
      <c r="A8" s="120">
        <f t="shared" si="0"/>
        <v>6</v>
      </c>
      <c r="B8" s="80" t="s">
        <v>319</v>
      </c>
      <c r="C8" s="79" t="s">
        <v>630</v>
      </c>
      <c r="D8" s="79" t="s">
        <v>346</v>
      </c>
      <c r="E8" s="80" t="s">
        <v>345</v>
      </c>
      <c r="F8" s="79"/>
    </row>
    <row r="9" spans="1:6" ht="28.8" x14ac:dyDescent="0.3">
      <c r="A9" s="120">
        <f t="shared" si="0"/>
        <v>7</v>
      </c>
      <c r="B9" s="80" t="s">
        <v>319</v>
      </c>
      <c r="C9" s="79" t="s">
        <v>631</v>
      </c>
      <c r="D9" s="79" t="s">
        <v>344</v>
      </c>
      <c r="E9" s="80" t="s">
        <v>343</v>
      </c>
      <c r="F9" s="79"/>
    </row>
    <row r="10" spans="1:6" ht="100.8" x14ac:dyDescent="0.3">
      <c r="A10" s="120">
        <f t="shared" si="0"/>
        <v>8</v>
      </c>
      <c r="B10" s="80" t="s">
        <v>319</v>
      </c>
      <c r="C10" s="79" t="s">
        <v>632</v>
      </c>
      <c r="D10" s="79" t="s">
        <v>342</v>
      </c>
      <c r="E10" s="80" t="s">
        <v>341</v>
      </c>
      <c r="F10" s="79"/>
    </row>
    <row r="11" spans="1:6" ht="28.8" x14ac:dyDescent="0.3">
      <c r="A11" s="120">
        <f t="shared" si="0"/>
        <v>9</v>
      </c>
      <c r="B11" s="80" t="s">
        <v>319</v>
      </c>
      <c r="C11" s="79" t="s">
        <v>633</v>
      </c>
      <c r="D11" s="79" t="s">
        <v>340</v>
      </c>
      <c r="E11" s="80" t="s">
        <v>339</v>
      </c>
      <c r="F11" s="79"/>
    </row>
    <row r="12" spans="1:6" ht="43.2" x14ac:dyDescent="0.3">
      <c r="A12" s="120">
        <f t="shared" si="0"/>
        <v>10</v>
      </c>
      <c r="B12" s="80" t="s">
        <v>319</v>
      </c>
      <c r="C12" s="79" t="s">
        <v>634</v>
      </c>
      <c r="D12" s="79" t="s">
        <v>338</v>
      </c>
      <c r="E12" s="80" t="s">
        <v>337</v>
      </c>
      <c r="F12" s="79"/>
    </row>
    <row r="13" spans="1:6" ht="43.2" x14ac:dyDescent="0.3">
      <c r="A13" s="120">
        <f t="shared" si="0"/>
        <v>11</v>
      </c>
      <c r="B13" s="80" t="s">
        <v>319</v>
      </c>
      <c r="C13" s="79" t="s">
        <v>635</v>
      </c>
      <c r="D13" s="79" t="s">
        <v>336</v>
      </c>
      <c r="E13" s="80" t="s">
        <v>335</v>
      </c>
      <c r="F13" s="79"/>
    </row>
    <row r="14" spans="1:6" ht="43.2" x14ac:dyDescent="0.3">
      <c r="A14" s="120">
        <f t="shared" si="0"/>
        <v>12</v>
      </c>
      <c r="B14" s="80" t="s">
        <v>319</v>
      </c>
      <c r="C14" s="79" t="s">
        <v>636</v>
      </c>
      <c r="D14" s="79" t="s">
        <v>334</v>
      </c>
      <c r="E14" s="80" t="s">
        <v>333</v>
      </c>
      <c r="F14" s="79"/>
    </row>
    <row r="15" spans="1:6" ht="28.8" x14ac:dyDescent="0.3">
      <c r="A15" s="120">
        <f t="shared" si="0"/>
        <v>13</v>
      </c>
      <c r="B15" s="80" t="s">
        <v>319</v>
      </c>
      <c r="C15" s="79" t="s">
        <v>332</v>
      </c>
      <c r="D15" s="79" t="s">
        <v>331</v>
      </c>
      <c r="E15" s="80" t="s">
        <v>330</v>
      </c>
      <c r="F15" s="79"/>
    </row>
    <row r="16" spans="1:6" ht="28.8" x14ac:dyDescent="0.3">
      <c r="A16" s="120">
        <f t="shared" si="0"/>
        <v>14</v>
      </c>
      <c r="B16" s="80" t="s">
        <v>319</v>
      </c>
      <c r="C16" s="79" t="s">
        <v>637</v>
      </c>
      <c r="D16" s="79" t="s">
        <v>329</v>
      </c>
      <c r="E16" s="80" t="s">
        <v>328</v>
      </c>
      <c r="F16" s="79"/>
    </row>
    <row r="17" spans="1:6" ht="28.8" x14ac:dyDescent="0.3">
      <c r="A17" s="120">
        <f t="shared" si="0"/>
        <v>15</v>
      </c>
      <c r="B17" s="80" t="s">
        <v>319</v>
      </c>
      <c r="C17" s="79" t="s">
        <v>638</v>
      </c>
      <c r="D17" s="79" t="s">
        <v>326</v>
      </c>
      <c r="E17" s="80" t="s">
        <v>325</v>
      </c>
      <c r="F17" s="79"/>
    </row>
    <row r="18" spans="1:6" ht="28.8" x14ac:dyDescent="0.3">
      <c r="A18" s="120">
        <f t="shared" si="0"/>
        <v>16</v>
      </c>
      <c r="B18" s="80" t="s">
        <v>319</v>
      </c>
      <c r="C18" s="79" t="s">
        <v>79</v>
      </c>
      <c r="D18" s="79" t="s">
        <v>324</v>
      </c>
      <c r="E18" s="80" t="s">
        <v>323</v>
      </c>
      <c r="F18" s="79"/>
    </row>
    <row r="19" spans="1:6" ht="43.2" x14ac:dyDescent="0.3">
      <c r="A19" s="120">
        <f t="shared" si="0"/>
        <v>17</v>
      </c>
      <c r="B19" s="80" t="s">
        <v>319</v>
      </c>
      <c r="C19" s="79" t="s">
        <v>322</v>
      </c>
      <c r="D19" s="79" t="s">
        <v>321</v>
      </c>
      <c r="E19" s="80" t="s">
        <v>320</v>
      </c>
      <c r="F19" s="79"/>
    </row>
    <row r="20" spans="1:6" ht="43.2" x14ac:dyDescent="0.3">
      <c r="A20" s="120">
        <f t="shared" si="0"/>
        <v>18</v>
      </c>
      <c r="B20" s="80" t="s">
        <v>319</v>
      </c>
      <c r="C20" s="79" t="s">
        <v>243</v>
      </c>
      <c r="D20" s="79" t="s">
        <v>318</v>
      </c>
      <c r="E20" s="80" t="s">
        <v>317</v>
      </c>
      <c r="F20" s="79"/>
    </row>
    <row r="21" spans="1:6" ht="288" x14ac:dyDescent="0.3">
      <c r="A21" s="120">
        <f t="shared" si="0"/>
        <v>19</v>
      </c>
      <c r="B21" s="79" t="s">
        <v>312</v>
      </c>
      <c r="C21" s="79" t="s">
        <v>639</v>
      </c>
      <c r="D21" s="79" t="s">
        <v>316</v>
      </c>
      <c r="E21" s="80" t="s">
        <v>315</v>
      </c>
      <c r="F21" s="79"/>
    </row>
    <row r="22" spans="1:6" ht="115.2" x14ac:dyDescent="0.3">
      <c r="A22" s="120">
        <f t="shared" si="0"/>
        <v>20</v>
      </c>
      <c r="B22" s="79" t="s">
        <v>312</v>
      </c>
      <c r="C22" s="79" t="s">
        <v>639</v>
      </c>
      <c r="D22" s="79" t="s">
        <v>314</v>
      </c>
      <c r="E22" s="80" t="s">
        <v>313</v>
      </c>
      <c r="F22" s="79"/>
    </row>
    <row r="23" spans="1:6" ht="28.8" x14ac:dyDescent="0.3">
      <c r="A23" s="120">
        <f t="shared" si="0"/>
        <v>21</v>
      </c>
      <c r="B23" s="79" t="s">
        <v>312</v>
      </c>
      <c r="C23" s="79" t="s">
        <v>639</v>
      </c>
      <c r="D23" s="79" t="s">
        <v>311</v>
      </c>
      <c r="E23" s="80" t="s">
        <v>310</v>
      </c>
      <c r="F23" s="79"/>
    </row>
    <row r="24" spans="1:6" ht="86.4" x14ac:dyDescent="0.3">
      <c r="A24" s="120">
        <f t="shared" si="0"/>
        <v>22</v>
      </c>
      <c r="B24" s="79" t="s">
        <v>305</v>
      </c>
      <c r="C24" s="79" t="s">
        <v>8</v>
      </c>
      <c r="D24" s="80" t="s">
        <v>309</v>
      </c>
      <c r="E24" s="80" t="s">
        <v>308</v>
      </c>
      <c r="F24" s="79"/>
    </row>
    <row r="25" spans="1:6" ht="28.8" x14ac:dyDescent="0.3">
      <c r="A25" s="120">
        <f t="shared" si="0"/>
        <v>23</v>
      </c>
      <c r="B25" s="79" t="s">
        <v>305</v>
      </c>
      <c r="C25" s="79" t="s">
        <v>8</v>
      </c>
      <c r="D25" s="79" t="s">
        <v>307</v>
      </c>
      <c r="E25" s="80" t="s">
        <v>306</v>
      </c>
      <c r="F25" s="79"/>
    </row>
    <row r="26" spans="1:6" x14ac:dyDescent="0.3">
      <c r="A26" s="120">
        <f t="shared" si="0"/>
        <v>24</v>
      </c>
      <c r="B26" s="79" t="s">
        <v>305</v>
      </c>
      <c r="C26" s="79" t="s">
        <v>8</v>
      </c>
      <c r="D26" s="79" t="s">
        <v>304</v>
      </c>
      <c r="E26" s="80" t="s">
        <v>303</v>
      </c>
      <c r="F26" s="79"/>
    </row>
    <row r="27" spans="1:6" ht="43.2" x14ac:dyDescent="0.3">
      <c r="A27" s="120">
        <f t="shared" si="0"/>
        <v>25</v>
      </c>
      <c r="B27" s="79" t="s">
        <v>290</v>
      </c>
      <c r="C27" s="79" t="s">
        <v>253</v>
      </c>
      <c r="D27" s="79" t="s">
        <v>302</v>
      </c>
      <c r="E27" s="82" t="s">
        <v>301</v>
      </c>
      <c r="F27" s="79"/>
    </row>
    <row r="28" spans="1:6" x14ac:dyDescent="0.3">
      <c r="A28" s="120">
        <f t="shared" si="0"/>
        <v>26</v>
      </c>
      <c r="B28" s="79" t="s">
        <v>290</v>
      </c>
      <c r="C28" s="79" t="s">
        <v>253</v>
      </c>
      <c r="D28" s="79" t="s">
        <v>300</v>
      </c>
      <c r="E28" s="80" t="s">
        <v>299</v>
      </c>
      <c r="F28" s="79"/>
    </row>
    <row r="29" spans="1:6" x14ac:dyDescent="0.3">
      <c r="A29" s="120">
        <f t="shared" si="0"/>
        <v>27</v>
      </c>
      <c r="B29" s="79" t="s">
        <v>290</v>
      </c>
      <c r="C29" s="79" t="s">
        <v>298</v>
      </c>
      <c r="D29" s="79" t="s">
        <v>297</v>
      </c>
      <c r="E29" s="80" t="s">
        <v>296</v>
      </c>
      <c r="F29" s="79"/>
    </row>
    <row r="30" spans="1:6" ht="57.6" x14ac:dyDescent="0.3">
      <c r="A30" s="120">
        <f t="shared" si="0"/>
        <v>28</v>
      </c>
      <c r="B30" s="79" t="s">
        <v>290</v>
      </c>
      <c r="C30" s="79" t="s">
        <v>289</v>
      </c>
      <c r="D30" s="79" t="s">
        <v>295</v>
      </c>
      <c r="E30" s="80" t="s">
        <v>294</v>
      </c>
      <c r="F30" s="79"/>
    </row>
    <row r="31" spans="1:6" ht="360" x14ac:dyDescent="0.3">
      <c r="A31" s="120">
        <f t="shared" si="0"/>
        <v>29</v>
      </c>
      <c r="B31" s="79" t="s">
        <v>290</v>
      </c>
      <c r="C31" s="79" t="s">
        <v>293</v>
      </c>
      <c r="D31" s="79" t="s">
        <v>292</v>
      </c>
      <c r="E31" s="80" t="s">
        <v>291</v>
      </c>
      <c r="F31" s="79"/>
    </row>
    <row r="32" spans="1:6" ht="43.2" x14ac:dyDescent="0.3">
      <c r="A32" s="120">
        <f t="shared" si="0"/>
        <v>30</v>
      </c>
      <c r="B32" s="79" t="s">
        <v>290</v>
      </c>
      <c r="C32" s="79" t="s">
        <v>289</v>
      </c>
      <c r="D32" s="79" t="s">
        <v>288</v>
      </c>
      <c r="E32" s="80" t="s">
        <v>287</v>
      </c>
      <c r="F32" s="79"/>
    </row>
    <row r="33" spans="1:6" ht="129.6" x14ac:dyDescent="0.3">
      <c r="A33" s="120">
        <f t="shared" si="0"/>
        <v>31</v>
      </c>
      <c r="B33" s="79" t="s">
        <v>270</v>
      </c>
      <c r="C33" s="79" t="s">
        <v>282</v>
      </c>
      <c r="D33" s="79" t="s">
        <v>144</v>
      </c>
      <c r="E33" s="80" t="s">
        <v>143</v>
      </c>
      <c r="F33" s="79"/>
    </row>
    <row r="34" spans="1:6" ht="144" x14ac:dyDescent="0.3">
      <c r="A34" s="120">
        <f t="shared" si="0"/>
        <v>32</v>
      </c>
      <c r="B34" s="79" t="s">
        <v>270</v>
      </c>
      <c r="C34" s="79" t="s">
        <v>282</v>
      </c>
      <c r="D34" s="79" t="s">
        <v>286</v>
      </c>
      <c r="E34" s="80" t="s">
        <v>285</v>
      </c>
      <c r="F34" s="79"/>
    </row>
    <row r="35" spans="1:6" ht="115.2" x14ac:dyDescent="0.3">
      <c r="A35" s="120">
        <f t="shared" si="0"/>
        <v>33</v>
      </c>
      <c r="B35" s="79" t="s">
        <v>270</v>
      </c>
      <c r="C35" s="79" t="s">
        <v>282</v>
      </c>
      <c r="D35" s="79" t="s">
        <v>284</v>
      </c>
      <c r="E35" s="80" t="s">
        <v>283</v>
      </c>
      <c r="F35" s="79"/>
    </row>
    <row r="36" spans="1:6" ht="28.8" x14ac:dyDescent="0.3">
      <c r="A36" s="120">
        <f t="shared" si="0"/>
        <v>34</v>
      </c>
      <c r="B36" s="79" t="s">
        <v>270</v>
      </c>
      <c r="C36" s="79" t="s">
        <v>282</v>
      </c>
      <c r="D36" s="79" t="s">
        <v>281</v>
      </c>
      <c r="E36" s="80" t="s">
        <v>280</v>
      </c>
      <c r="F36" s="79"/>
    </row>
    <row r="37" spans="1:6" ht="72" x14ac:dyDescent="0.3">
      <c r="A37" s="120">
        <f t="shared" si="0"/>
        <v>35</v>
      </c>
      <c r="B37" s="79" t="s">
        <v>270</v>
      </c>
      <c r="C37" s="79" t="s">
        <v>640</v>
      </c>
      <c r="D37" s="80" t="s">
        <v>279</v>
      </c>
      <c r="E37" s="80" t="s">
        <v>278</v>
      </c>
      <c r="F37" s="79"/>
    </row>
    <row r="38" spans="1:6" ht="86.4" x14ac:dyDescent="0.3">
      <c r="A38" s="120">
        <f t="shared" si="0"/>
        <v>36</v>
      </c>
      <c r="B38" s="79" t="s">
        <v>270</v>
      </c>
      <c r="C38" s="79" t="s">
        <v>277</v>
      </c>
      <c r="D38" s="80" t="s">
        <v>276</v>
      </c>
      <c r="E38" s="80" t="s">
        <v>275</v>
      </c>
      <c r="F38" s="79"/>
    </row>
    <row r="39" spans="1:6" ht="72" x14ac:dyDescent="0.3">
      <c r="A39" s="120">
        <f t="shared" si="0"/>
        <v>37</v>
      </c>
      <c r="B39" s="79" t="s">
        <v>270</v>
      </c>
      <c r="C39" s="79" t="s">
        <v>236</v>
      </c>
      <c r="D39" s="80" t="s">
        <v>274</v>
      </c>
      <c r="E39" s="80" t="s">
        <v>273</v>
      </c>
      <c r="F39" s="79"/>
    </row>
    <row r="40" spans="1:6" ht="72" x14ac:dyDescent="0.3">
      <c r="A40" s="120">
        <f t="shared" si="0"/>
        <v>38</v>
      </c>
      <c r="B40" s="79" t="s">
        <v>270</v>
      </c>
      <c r="C40" s="79" t="s">
        <v>236</v>
      </c>
      <c r="D40" s="80" t="s">
        <v>272</v>
      </c>
      <c r="E40" s="80" t="s">
        <v>271</v>
      </c>
      <c r="F40" s="79"/>
    </row>
    <row r="41" spans="1:6" ht="72" x14ac:dyDescent="0.3">
      <c r="A41" s="120">
        <f t="shared" si="0"/>
        <v>39</v>
      </c>
      <c r="B41" s="79" t="s">
        <v>270</v>
      </c>
      <c r="C41" s="79" t="s">
        <v>236</v>
      </c>
      <c r="D41" s="80" t="s">
        <v>269</v>
      </c>
      <c r="E41" s="80" t="s">
        <v>268</v>
      </c>
      <c r="F41" s="79"/>
    </row>
    <row r="42" spans="1:6" ht="72" x14ac:dyDescent="0.3">
      <c r="A42" s="120">
        <f t="shared" si="0"/>
        <v>40</v>
      </c>
      <c r="B42" s="79" t="s">
        <v>79</v>
      </c>
      <c r="C42" s="79" t="s">
        <v>79</v>
      </c>
      <c r="D42" s="79" t="s">
        <v>267</v>
      </c>
      <c r="E42" s="80" t="s">
        <v>266</v>
      </c>
      <c r="F42" s="79"/>
    </row>
    <row r="43" spans="1:6" x14ac:dyDescent="0.3">
      <c r="A43" s="120">
        <f t="shared" si="0"/>
        <v>41</v>
      </c>
      <c r="B43" s="79" t="s">
        <v>79</v>
      </c>
      <c r="C43" s="79" t="s">
        <v>79</v>
      </c>
      <c r="D43" s="79" t="s">
        <v>265</v>
      </c>
      <c r="E43" s="80" t="s">
        <v>264</v>
      </c>
      <c r="F43" s="79"/>
    </row>
    <row r="44" spans="1:6" ht="72" x14ac:dyDescent="0.3">
      <c r="A44" s="120">
        <f t="shared" si="0"/>
        <v>42</v>
      </c>
      <c r="B44" s="79" t="s">
        <v>79</v>
      </c>
      <c r="C44" s="79" t="s">
        <v>253</v>
      </c>
      <c r="D44" s="80" t="s">
        <v>263</v>
      </c>
      <c r="E44" s="80" t="s">
        <v>262</v>
      </c>
      <c r="F44" s="79"/>
    </row>
    <row r="45" spans="1:6" x14ac:dyDescent="0.3">
      <c r="A45" s="120">
        <f t="shared" si="0"/>
        <v>43</v>
      </c>
      <c r="B45" s="79" t="s">
        <v>97</v>
      </c>
      <c r="C45" s="79" t="s">
        <v>97</v>
      </c>
      <c r="D45" s="80" t="s">
        <v>261</v>
      </c>
      <c r="E45" s="80" t="s">
        <v>260</v>
      </c>
      <c r="F45" s="79"/>
    </row>
    <row r="46" spans="1:6" ht="72" x14ac:dyDescent="0.3">
      <c r="A46" s="120">
        <f t="shared" si="0"/>
        <v>44</v>
      </c>
      <c r="B46" s="79" t="s">
        <v>97</v>
      </c>
      <c r="C46" s="79" t="s">
        <v>97</v>
      </c>
      <c r="D46" s="80" t="s">
        <v>259</v>
      </c>
      <c r="E46" s="80" t="s">
        <v>258</v>
      </c>
      <c r="F46" s="79"/>
    </row>
    <row r="47" spans="1:6" ht="28.8" x14ac:dyDescent="0.3">
      <c r="A47" s="120">
        <f t="shared" si="0"/>
        <v>45</v>
      </c>
      <c r="B47" s="79" t="s">
        <v>97</v>
      </c>
      <c r="C47" s="79" t="s">
        <v>97</v>
      </c>
      <c r="D47" s="80" t="s">
        <v>257</v>
      </c>
      <c r="E47" s="80" t="s">
        <v>256</v>
      </c>
      <c r="F47" s="79"/>
    </row>
    <row r="48" spans="1:6" ht="72" x14ac:dyDescent="0.3">
      <c r="A48" s="120">
        <f t="shared" si="0"/>
        <v>46</v>
      </c>
      <c r="B48" s="79" t="s">
        <v>97</v>
      </c>
      <c r="C48" s="79" t="s">
        <v>97</v>
      </c>
      <c r="D48" s="80" t="s">
        <v>255</v>
      </c>
      <c r="E48" s="80" t="s">
        <v>254</v>
      </c>
      <c r="F48" s="79"/>
    </row>
    <row r="49" spans="1:6" x14ac:dyDescent="0.3">
      <c r="A49" s="120">
        <f t="shared" si="0"/>
        <v>47</v>
      </c>
      <c r="B49" s="79" t="s">
        <v>97</v>
      </c>
      <c r="C49" s="79" t="s">
        <v>253</v>
      </c>
      <c r="D49" s="80" t="s">
        <v>252</v>
      </c>
      <c r="E49" s="80" t="s">
        <v>251</v>
      </c>
      <c r="F49" s="79"/>
    </row>
    <row r="50" spans="1:6" ht="57.6" x14ac:dyDescent="0.3">
      <c r="A50" s="120">
        <f t="shared" si="0"/>
        <v>48</v>
      </c>
      <c r="B50" s="79" t="s">
        <v>97</v>
      </c>
      <c r="C50" s="79" t="s">
        <v>250</v>
      </c>
      <c r="D50" s="80" t="s">
        <v>249</v>
      </c>
      <c r="E50" s="80" t="s">
        <v>248</v>
      </c>
      <c r="F50" s="79"/>
    </row>
    <row r="51" spans="1:6" ht="28.8" x14ac:dyDescent="0.3">
      <c r="A51" s="120">
        <f t="shared" si="0"/>
        <v>49</v>
      </c>
      <c r="B51" s="79" t="s">
        <v>97</v>
      </c>
      <c r="C51" s="79" t="s">
        <v>97</v>
      </c>
      <c r="D51" s="80" t="s">
        <v>247</v>
      </c>
      <c r="E51" s="80" t="s">
        <v>246</v>
      </c>
      <c r="F51" s="79"/>
    </row>
    <row r="52" spans="1:6" ht="28.8" x14ac:dyDescent="0.3">
      <c r="A52" s="120">
        <f t="shared" si="0"/>
        <v>50</v>
      </c>
      <c r="B52" s="79" t="s">
        <v>97</v>
      </c>
      <c r="C52" s="79" t="s">
        <v>97</v>
      </c>
      <c r="D52" s="80" t="s">
        <v>245</v>
      </c>
      <c r="E52" s="80" t="s">
        <v>244</v>
      </c>
      <c r="F52" s="79"/>
    </row>
    <row r="53" spans="1:6" ht="43.2" x14ac:dyDescent="0.3">
      <c r="A53" s="120">
        <f t="shared" si="0"/>
        <v>51</v>
      </c>
      <c r="B53" s="79" t="s">
        <v>97</v>
      </c>
      <c r="C53" s="79" t="s">
        <v>243</v>
      </c>
      <c r="D53" s="80" t="s">
        <v>242</v>
      </c>
      <c r="E53" s="80" t="s">
        <v>241</v>
      </c>
      <c r="F53" s="79"/>
    </row>
    <row r="54" spans="1:6" ht="28.8" x14ac:dyDescent="0.3">
      <c r="A54" s="120">
        <f t="shared" si="0"/>
        <v>52</v>
      </c>
      <c r="B54" s="79" t="s">
        <v>97</v>
      </c>
      <c r="C54" s="79" t="s">
        <v>97</v>
      </c>
      <c r="D54" s="80" t="s">
        <v>240</v>
      </c>
      <c r="E54" s="80" t="s">
        <v>239</v>
      </c>
      <c r="F54" s="79"/>
    </row>
    <row r="55" spans="1:6" ht="57.6" x14ac:dyDescent="0.3">
      <c r="A55" s="120">
        <f t="shared" si="0"/>
        <v>53</v>
      </c>
      <c r="B55" s="79" t="s">
        <v>154</v>
      </c>
      <c r="C55" s="79" t="s">
        <v>236</v>
      </c>
      <c r="D55" s="82" t="s">
        <v>238</v>
      </c>
      <c r="E55" s="80" t="s">
        <v>237</v>
      </c>
      <c r="F55" s="79"/>
    </row>
    <row r="56" spans="1:6" ht="115.2" x14ac:dyDescent="0.3">
      <c r="A56" s="120">
        <f t="shared" si="0"/>
        <v>54</v>
      </c>
      <c r="B56" s="79" t="s">
        <v>154</v>
      </c>
      <c r="C56" s="79" t="s">
        <v>236</v>
      </c>
      <c r="D56" s="79" t="s">
        <v>235</v>
      </c>
      <c r="E56" s="80" t="s">
        <v>234</v>
      </c>
      <c r="F56" s="79"/>
    </row>
    <row r="57" spans="1:6" ht="72" x14ac:dyDescent="0.3">
      <c r="A57" s="120">
        <f t="shared" si="0"/>
        <v>55</v>
      </c>
      <c r="B57" s="79" t="s">
        <v>154</v>
      </c>
      <c r="C57" s="79" t="s">
        <v>233</v>
      </c>
      <c r="D57" s="79" t="s">
        <v>232</v>
      </c>
      <c r="E57" s="80" t="s">
        <v>231</v>
      </c>
      <c r="F57" s="79"/>
    </row>
    <row r="58" spans="1:6" ht="230.4" x14ac:dyDescent="0.3">
      <c r="A58" s="120">
        <f t="shared" si="0"/>
        <v>56</v>
      </c>
      <c r="B58" s="79" t="s">
        <v>154</v>
      </c>
      <c r="C58" s="79" t="s">
        <v>230</v>
      </c>
      <c r="D58" s="79" t="s">
        <v>229</v>
      </c>
      <c r="E58" s="80" t="s">
        <v>136</v>
      </c>
      <c r="F58" s="79"/>
    </row>
    <row r="59" spans="1:6" ht="172.8" x14ac:dyDescent="0.3">
      <c r="A59" s="120">
        <f t="shared" si="0"/>
        <v>57</v>
      </c>
      <c r="B59" s="81" t="s">
        <v>219</v>
      </c>
      <c r="C59" s="79" t="s">
        <v>641</v>
      </c>
      <c r="D59" s="79" t="s">
        <v>228</v>
      </c>
      <c r="E59" s="80" t="s">
        <v>227</v>
      </c>
      <c r="F59" s="79"/>
    </row>
    <row r="60" spans="1:6" ht="28.8" x14ac:dyDescent="0.3">
      <c r="A60" s="120">
        <f t="shared" si="0"/>
        <v>58</v>
      </c>
      <c r="B60" s="81" t="s">
        <v>219</v>
      </c>
      <c r="C60" s="79" t="s">
        <v>218</v>
      </c>
      <c r="D60" s="79" t="s">
        <v>226</v>
      </c>
      <c r="E60" s="80" t="s">
        <v>225</v>
      </c>
      <c r="F60" s="79"/>
    </row>
    <row r="61" spans="1:6" ht="57.6" x14ac:dyDescent="0.3">
      <c r="A61" s="120">
        <f t="shared" si="0"/>
        <v>59</v>
      </c>
      <c r="B61" s="81" t="s">
        <v>219</v>
      </c>
      <c r="C61" s="79" t="s">
        <v>218</v>
      </c>
      <c r="D61" s="79" t="s">
        <v>224</v>
      </c>
      <c r="E61" s="80" t="s">
        <v>223</v>
      </c>
      <c r="F61" s="79"/>
    </row>
    <row r="62" spans="1:6" ht="28.8" x14ac:dyDescent="0.3">
      <c r="A62" s="120">
        <f t="shared" si="0"/>
        <v>60</v>
      </c>
      <c r="B62" s="81" t="s">
        <v>219</v>
      </c>
      <c r="C62" s="79" t="s">
        <v>218</v>
      </c>
      <c r="D62" s="79" t="s">
        <v>222</v>
      </c>
      <c r="E62" s="80" t="s">
        <v>221</v>
      </c>
      <c r="F62" s="79"/>
    </row>
    <row r="63" spans="1:6" ht="57.6" x14ac:dyDescent="0.3">
      <c r="A63" s="120">
        <f t="shared" si="0"/>
        <v>61</v>
      </c>
      <c r="B63" s="81" t="s">
        <v>219</v>
      </c>
      <c r="C63" s="79" t="s">
        <v>220</v>
      </c>
      <c r="D63" s="79" t="s">
        <v>114</v>
      </c>
      <c r="E63" s="80" t="s">
        <v>113</v>
      </c>
      <c r="F63" s="79"/>
    </row>
    <row r="64" spans="1:6" ht="201.6" x14ac:dyDescent="0.3">
      <c r="A64" s="120">
        <f t="shared" si="0"/>
        <v>62</v>
      </c>
      <c r="B64" s="81" t="s">
        <v>219</v>
      </c>
      <c r="C64" s="79" t="s">
        <v>218</v>
      </c>
      <c r="D64" s="79" t="s">
        <v>217</v>
      </c>
      <c r="E64" s="80" t="s">
        <v>216</v>
      </c>
      <c r="F64" s="79"/>
    </row>
    <row r="65" spans="1:6" ht="172.8" x14ac:dyDescent="0.3">
      <c r="A65" s="120">
        <f t="shared" si="0"/>
        <v>63</v>
      </c>
      <c r="B65" s="79" t="s">
        <v>187</v>
      </c>
      <c r="C65" s="79" t="s">
        <v>195</v>
      </c>
      <c r="D65" s="79" t="s">
        <v>215</v>
      </c>
      <c r="E65" s="80" t="s">
        <v>214</v>
      </c>
      <c r="F65" s="79"/>
    </row>
    <row r="66" spans="1:6" ht="86.4" x14ac:dyDescent="0.3">
      <c r="A66" s="120">
        <f t="shared" si="0"/>
        <v>64</v>
      </c>
      <c r="B66" s="79" t="s">
        <v>187</v>
      </c>
      <c r="C66" s="79" t="s">
        <v>195</v>
      </c>
      <c r="D66" s="79" t="s">
        <v>213</v>
      </c>
      <c r="E66" s="80" t="s">
        <v>212</v>
      </c>
      <c r="F66" s="79"/>
    </row>
    <row r="67" spans="1:6" ht="72" x14ac:dyDescent="0.3">
      <c r="A67" s="120">
        <f t="shared" si="0"/>
        <v>65</v>
      </c>
      <c r="B67" s="79" t="s">
        <v>187</v>
      </c>
      <c r="C67" s="79" t="s">
        <v>195</v>
      </c>
      <c r="D67" s="79" t="s">
        <v>211</v>
      </c>
      <c r="E67" s="80" t="s">
        <v>210</v>
      </c>
      <c r="F67" s="79"/>
    </row>
    <row r="68" spans="1:6" ht="100.8" x14ac:dyDescent="0.3">
      <c r="A68" s="120">
        <f t="shared" si="0"/>
        <v>66</v>
      </c>
      <c r="B68" s="79" t="s">
        <v>187</v>
      </c>
      <c r="C68" s="79" t="s">
        <v>195</v>
      </c>
      <c r="D68" s="79" t="s">
        <v>209</v>
      </c>
      <c r="E68" s="80" t="s">
        <v>208</v>
      </c>
      <c r="F68" s="79"/>
    </row>
    <row r="69" spans="1:6" ht="72" x14ac:dyDescent="0.3">
      <c r="A69" s="120">
        <f t="shared" ref="A69:A132" si="1">A68+1</f>
        <v>67</v>
      </c>
      <c r="B69" s="79" t="s">
        <v>187</v>
      </c>
      <c r="C69" s="79" t="s">
        <v>195</v>
      </c>
      <c r="D69" s="79" t="s">
        <v>207</v>
      </c>
      <c r="E69" s="80" t="s">
        <v>206</v>
      </c>
      <c r="F69" s="79"/>
    </row>
    <row r="70" spans="1:6" ht="86.4" x14ac:dyDescent="0.3">
      <c r="A70" s="120">
        <f t="shared" si="1"/>
        <v>68</v>
      </c>
      <c r="B70" s="79" t="s">
        <v>187</v>
      </c>
      <c r="C70" s="79" t="s">
        <v>205</v>
      </c>
      <c r="D70" s="79" t="s">
        <v>204</v>
      </c>
      <c r="E70" s="80" t="s">
        <v>203</v>
      </c>
      <c r="F70" s="79"/>
    </row>
    <row r="71" spans="1:6" ht="72" x14ac:dyDescent="0.3">
      <c r="A71" s="120">
        <f t="shared" si="1"/>
        <v>69</v>
      </c>
      <c r="B71" s="79" t="s">
        <v>187</v>
      </c>
      <c r="C71" s="79" t="s">
        <v>198</v>
      </c>
      <c r="D71" s="79" t="s">
        <v>202</v>
      </c>
      <c r="E71" s="80" t="s">
        <v>201</v>
      </c>
      <c r="F71" s="79"/>
    </row>
    <row r="72" spans="1:6" ht="57.6" x14ac:dyDescent="0.3">
      <c r="A72" s="120">
        <f t="shared" si="1"/>
        <v>70</v>
      </c>
      <c r="B72" s="79" t="s">
        <v>187</v>
      </c>
      <c r="C72" s="79" t="s">
        <v>195</v>
      </c>
      <c r="D72" s="79" t="s">
        <v>200</v>
      </c>
      <c r="E72" s="80" t="s">
        <v>199</v>
      </c>
      <c r="F72" s="79"/>
    </row>
    <row r="73" spans="1:6" x14ac:dyDescent="0.3">
      <c r="A73" s="120">
        <f t="shared" si="1"/>
        <v>71</v>
      </c>
      <c r="B73" s="79" t="s">
        <v>187</v>
      </c>
      <c r="C73" s="79" t="s">
        <v>198</v>
      </c>
      <c r="D73" s="79" t="s">
        <v>197</v>
      </c>
      <c r="E73" s="80" t="s">
        <v>196</v>
      </c>
      <c r="F73" s="79"/>
    </row>
    <row r="74" spans="1:6" ht="43.2" x14ac:dyDescent="0.3">
      <c r="A74" s="120">
        <f t="shared" si="1"/>
        <v>72</v>
      </c>
      <c r="B74" s="79" t="s">
        <v>187</v>
      </c>
      <c r="C74" s="79" t="s">
        <v>195</v>
      </c>
      <c r="D74" s="79" t="s">
        <v>194</v>
      </c>
      <c r="E74" s="80" t="s">
        <v>193</v>
      </c>
      <c r="F74" s="79"/>
    </row>
    <row r="75" spans="1:6" ht="72" x14ac:dyDescent="0.3">
      <c r="A75" s="120">
        <f t="shared" si="1"/>
        <v>73</v>
      </c>
      <c r="B75" s="79" t="s">
        <v>187</v>
      </c>
      <c r="C75" s="79" t="s">
        <v>192</v>
      </c>
      <c r="D75" s="79" t="s">
        <v>191</v>
      </c>
      <c r="E75" s="80" t="s">
        <v>190</v>
      </c>
      <c r="F75" s="79"/>
    </row>
    <row r="76" spans="1:6" ht="57.6" x14ac:dyDescent="0.3">
      <c r="A76" s="120">
        <f t="shared" si="1"/>
        <v>74</v>
      </c>
      <c r="B76" s="79" t="s">
        <v>187</v>
      </c>
      <c r="C76" s="79" t="s">
        <v>186</v>
      </c>
      <c r="D76" s="79" t="s">
        <v>189</v>
      </c>
      <c r="E76" s="80" t="s">
        <v>188</v>
      </c>
      <c r="F76" s="79"/>
    </row>
    <row r="77" spans="1:6" ht="57.6" x14ac:dyDescent="0.3">
      <c r="A77" s="120">
        <f t="shared" si="1"/>
        <v>75</v>
      </c>
      <c r="B77" s="79" t="s">
        <v>187</v>
      </c>
      <c r="C77" s="79" t="s">
        <v>186</v>
      </c>
      <c r="D77" s="79" t="s">
        <v>185</v>
      </c>
      <c r="E77" s="80" t="s">
        <v>184</v>
      </c>
      <c r="F77" s="79"/>
    </row>
    <row r="78" spans="1:6" x14ac:dyDescent="0.3">
      <c r="A78" s="120">
        <f t="shared" si="1"/>
        <v>76</v>
      </c>
      <c r="B78" s="79" t="s">
        <v>179</v>
      </c>
      <c r="C78" s="79" t="s">
        <v>72</v>
      </c>
      <c r="D78" s="79" t="s">
        <v>183</v>
      </c>
      <c r="E78" s="80" t="s">
        <v>182</v>
      </c>
      <c r="F78" s="79"/>
    </row>
    <row r="79" spans="1:6" ht="100.8" x14ac:dyDescent="0.3">
      <c r="A79" s="120">
        <f t="shared" si="1"/>
        <v>77</v>
      </c>
      <c r="B79" s="79" t="s">
        <v>179</v>
      </c>
      <c r="C79" s="79" t="s">
        <v>72</v>
      </c>
      <c r="D79" s="79" t="s">
        <v>181</v>
      </c>
      <c r="E79" s="80" t="s">
        <v>180</v>
      </c>
      <c r="F79" s="79"/>
    </row>
    <row r="80" spans="1:6" ht="28.8" x14ac:dyDescent="0.3">
      <c r="A80" s="120">
        <f t="shared" si="1"/>
        <v>78</v>
      </c>
      <c r="B80" s="79" t="s">
        <v>179</v>
      </c>
      <c r="C80" s="79" t="s">
        <v>72</v>
      </c>
      <c r="D80" s="79" t="s">
        <v>178</v>
      </c>
      <c r="E80" s="80" t="s">
        <v>177</v>
      </c>
      <c r="F80" s="79"/>
    </row>
    <row r="81" spans="1:6" ht="28.8" x14ac:dyDescent="0.3">
      <c r="A81" s="120">
        <f t="shared" si="1"/>
        <v>79</v>
      </c>
      <c r="B81" s="79" t="s">
        <v>89</v>
      </c>
      <c r="C81" s="79" t="s">
        <v>89</v>
      </c>
      <c r="D81" s="79" t="s">
        <v>176</v>
      </c>
      <c r="E81" s="80" t="s">
        <v>175</v>
      </c>
      <c r="F81" s="79"/>
    </row>
    <row r="82" spans="1:6" ht="28.8" x14ac:dyDescent="0.3">
      <c r="A82" s="120">
        <f t="shared" si="1"/>
        <v>80</v>
      </c>
      <c r="B82" s="79" t="s">
        <v>97</v>
      </c>
      <c r="C82" s="79" t="s">
        <v>642</v>
      </c>
      <c r="D82" s="79" t="s">
        <v>174</v>
      </c>
      <c r="E82" s="80" t="s">
        <v>173</v>
      </c>
      <c r="F82" s="79"/>
    </row>
    <row r="83" spans="1:6" ht="28.8" x14ac:dyDescent="0.3">
      <c r="A83" s="120">
        <f t="shared" si="1"/>
        <v>81</v>
      </c>
      <c r="B83" s="79" t="s">
        <v>97</v>
      </c>
      <c r="C83" s="79" t="s">
        <v>72</v>
      </c>
      <c r="D83" s="79" t="s">
        <v>172</v>
      </c>
      <c r="E83" s="80" t="s">
        <v>171</v>
      </c>
      <c r="F83" s="79"/>
    </row>
    <row r="84" spans="1:6" ht="28.8" x14ac:dyDescent="0.3">
      <c r="A84" s="120">
        <f t="shared" si="1"/>
        <v>82</v>
      </c>
      <c r="B84" s="79" t="s">
        <v>89</v>
      </c>
      <c r="C84" s="79" t="s">
        <v>72</v>
      </c>
      <c r="D84" s="79" t="s">
        <v>170</v>
      </c>
      <c r="E84" s="80" t="s">
        <v>169</v>
      </c>
      <c r="F84" s="79"/>
    </row>
    <row r="85" spans="1:6" ht="28.8" x14ac:dyDescent="0.3">
      <c r="A85" s="120">
        <f t="shared" si="1"/>
        <v>83</v>
      </c>
      <c r="B85" s="117" t="s">
        <v>2</v>
      </c>
      <c r="C85" s="119" t="s">
        <v>643</v>
      </c>
      <c r="D85" s="119" t="s">
        <v>476</v>
      </c>
      <c r="E85" s="119" t="s">
        <v>474</v>
      </c>
      <c r="F85" s="79"/>
    </row>
    <row r="86" spans="1:6" ht="28.8" x14ac:dyDescent="0.3">
      <c r="A86" s="120">
        <f t="shared" si="1"/>
        <v>84</v>
      </c>
      <c r="B86" s="117" t="s">
        <v>2</v>
      </c>
      <c r="C86" s="119" t="s">
        <v>648</v>
      </c>
      <c r="D86" s="118" t="s">
        <v>475</v>
      </c>
      <c r="E86" s="119" t="s">
        <v>474</v>
      </c>
      <c r="F86" s="79"/>
    </row>
    <row r="87" spans="1:6" ht="43.2" x14ac:dyDescent="0.3">
      <c r="A87" s="120">
        <f t="shared" si="1"/>
        <v>85</v>
      </c>
      <c r="B87" s="117" t="s">
        <v>2</v>
      </c>
      <c r="C87" s="119" t="s">
        <v>649</v>
      </c>
      <c r="D87" s="119" t="s">
        <v>472</v>
      </c>
      <c r="E87" s="119" t="s">
        <v>471</v>
      </c>
      <c r="F87" s="79"/>
    </row>
    <row r="88" spans="1:6" ht="43.2" x14ac:dyDescent="0.3">
      <c r="A88" s="120">
        <f t="shared" si="1"/>
        <v>86</v>
      </c>
      <c r="B88" s="117" t="s">
        <v>2</v>
      </c>
      <c r="C88" s="119" t="s">
        <v>650</v>
      </c>
      <c r="D88" s="119" t="s">
        <v>470</v>
      </c>
      <c r="E88" s="121" t="s">
        <v>455</v>
      </c>
      <c r="F88" s="79"/>
    </row>
    <row r="89" spans="1:6" ht="43.2" x14ac:dyDescent="0.3">
      <c r="A89" s="120">
        <f t="shared" si="1"/>
        <v>87</v>
      </c>
      <c r="B89" s="117" t="s">
        <v>2</v>
      </c>
      <c r="C89" s="119" t="s">
        <v>651</v>
      </c>
      <c r="D89" s="119" t="s">
        <v>469</v>
      </c>
      <c r="E89" s="121" t="s">
        <v>468</v>
      </c>
      <c r="F89" s="79"/>
    </row>
    <row r="90" spans="1:6" ht="28.8" x14ac:dyDescent="0.3">
      <c r="A90" s="120">
        <f t="shared" si="1"/>
        <v>88</v>
      </c>
      <c r="B90" s="117" t="s">
        <v>69</v>
      </c>
      <c r="C90" s="119" t="s">
        <v>652</v>
      </c>
      <c r="D90" s="119" t="s">
        <v>467</v>
      </c>
      <c r="E90" s="121" t="s">
        <v>466</v>
      </c>
      <c r="F90" s="79"/>
    </row>
    <row r="91" spans="1:6" ht="28.8" x14ac:dyDescent="0.3">
      <c r="A91" s="120">
        <f t="shared" si="1"/>
        <v>89</v>
      </c>
      <c r="B91" s="117" t="s">
        <v>69</v>
      </c>
      <c r="C91" s="119" t="s">
        <v>653</v>
      </c>
      <c r="D91" s="119" t="s">
        <v>465</v>
      </c>
      <c r="E91" s="121" t="s">
        <v>464</v>
      </c>
      <c r="F91" s="79"/>
    </row>
    <row r="92" spans="1:6" ht="28.8" x14ac:dyDescent="0.3">
      <c r="A92" s="120">
        <f t="shared" si="1"/>
        <v>90</v>
      </c>
      <c r="B92" s="117" t="s">
        <v>69</v>
      </c>
      <c r="C92" s="119" t="s">
        <v>654</v>
      </c>
      <c r="D92" s="119" t="s">
        <v>463</v>
      </c>
      <c r="E92" s="121" t="s">
        <v>462</v>
      </c>
      <c r="F92" s="79"/>
    </row>
    <row r="93" spans="1:6" ht="28.8" x14ac:dyDescent="0.3">
      <c r="A93" s="120">
        <f t="shared" si="1"/>
        <v>91</v>
      </c>
      <c r="B93" s="117" t="s">
        <v>69</v>
      </c>
      <c r="C93" s="119" t="s">
        <v>655</v>
      </c>
      <c r="D93" s="119" t="s">
        <v>461</v>
      </c>
      <c r="E93" s="121" t="s">
        <v>460</v>
      </c>
      <c r="F93" s="79"/>
    </row>
    <row r="94" spans="1:6" ht="43.2" x14ac:dyDescent="0.3">
      <c r="A94" s="120">
        <f t="shared" si="1"/>
        <v>92</v>
      </c>
      <c r="B94" s="117" t="s">
        <v>2</v>
      </c>
      <c r="C94" s="119" t="s">
        <v>656</v>
      </c>
      <c r="D94" s="119" t="s">
        <v>459</v>
      </c>
      <c r="E94" s="121" t="s">
        <v>458</v>
      </c>
      <c r="F94" s="79"/>
    </row>
    <row r="95" spans="1:6" ht="43.2" x14ac:dyDescent="0.3">
      <c r="A95" s="120">
        <f t="shared" si="1"/>
        <v>93</v>
      </c>
      <c r="B95" s="117" t="s">
        <v>2</v>
      </c>
      <c r="C95" s="119" t="s">
        <v>657</v>
      </c>
      <c r="D95" s="119" t="s">
        <v>457</v>
      </c>
      <c r="E95" s="121" t="s">
        <v>453</v>
      </c>
      <c r="F95" s="79"/>
    </row>
    <row r="96" spans="1:6" ht="43.2" x14ac:dyDescent="0.3">
      <c r="A96" s="120">
        <f t="shared" si="1"/>
        <v>94</v>
      </c>
      <c r="B96" s="117" t="s">
        <v>2</v>
      </c>
      <c r="C96" s="119" t="s">
        <v>658</v>
      </c>
      <c r="D96" s="119" t="s">
        <v>456</v>
      </c>
      <c r="E96" s="121" t="s">
        <v>455</v>
      </c>
      <c r="F96" s="79"/>
    </row>
    <row r="97" spans="1:6" ht="43.2" x14ac:dyDescent="0.3">
      <c r="A97" s="120">
        <f t="shared" si="1"/>
        <v>95</v>
      </c>
      <c r="B97" s="117" t="s">
        <v>2</v>
      </c>
      <c r="C97" s="119" t="s">
        <v>659</v>
      </c>
      <c r="D97" s="119" t="s">
        <v>454</v>
      </c>
      <c r="E97" s="121" t="s">
        <v>453</v>
      </c>
      <c r="F97" s="79"/>
    </row>
    <row r="98" spans="1:6" ht="43.2" x14ac:dyDescent="0.3">
      <c r="A98" s="120">
        <f t="shared" si="1"/>
        <v>96</v>
      </c>
      <c r="B98" s="117" t="s">
        <v>0</v>
      </c>
      <c r="C98" s="119" t="s">
        <v>660</v>
      </c>
      <c r="D98" s="119" t="s">
        <v>452</v>
      </c>
      <c r="E98" s="119" t="s">
        <v>555</v>
      </c>
      <c r="F98" s="79"/>
    </row>
    <row r="99" spans="1:6" ht="72" x14ac:dyDescent="0.3">
      <c r="A99" s="120">
        <f t="shared" si="1"/>
        <v>97</v>
      </c>
      <c r="B99" s="117" t="s">
        <v>0</v>
      </c>
      <c r="C99" s="119" t="s">
        <v>661</v>
      </c>
      <c r="D99" s="119" t="s">
        <v>451</v>
      </c>
      <c r="E99" s="121" t="s">
        <v>450</v>
      </c>
      <c r="F99" s="79"/>
    </row>
    <row r="100" spans="1:6" ht="28.8" x14ac:dyDescent="0.3">
      <c r="A100" s="120">
        <f t="shared" si="1"/>
        <v>98</v>
      </c>
      <c r="B100" s="117" t="s">
        <v>69</v>
      </c>
      <c r="C100" s="119" t="s">
        <v>662</v>
      </c>
      <c r="D100" s="119" t="s">
        <v>449</v>
      </c>
      <c r="E100" s="121" t="s">
        <v>448</v>
      </c>
      <c r="F100" s="79"/>
    </row>
    <row r="101" spans="1:6" ht="28.8" x14ac:dyDescent="0.3">
      <c r="A101" s="120">
        <f t="shared" si="1"/>
        <v>99</v>
      </c>
      <c r="B101" s="117" t="s">
        <v>69</v>
      </c>
      <c r="C101" s="119" t="s">
        <v>665</v>
      </c>
      <c r="D101" s="119" t="s">
        <v>447</v>
      </c>
      <c r="E101" s="121" t="s">
        <v>446</v>
      </c>
      <c r="F101" s="79"/>
    </row>
    <row r="102" spans="1:6" ht="28.8" x14ac:dyDescent="0.3">
      <c r="A102" s="120">
        <f t="shared" si="1"/>
        <v>100</v>
      </c>
      <c r="B102" s="117" t="s">
        <v>0</v>
      </c>
      <c r="C102" s="119" t="s">
        <v>666</v>
      </c>
      <c r="D102" s="119" t="s">
        <v>445</v>
      </c>
      <c r="E102" s="119" t="s">
        <v>548</v>
      </c>
      <c r="F102" s="79"/>
    </row>
    <row r="103" spans="1:6" ht="57.6" x14ac:dyDescent="0.3">
      <c r="A103" s="120">
        <f t="shared" si="1"/>
        <v>101</v>
      </c>
      <c r="B103" s="117" t="s">
        <v>0</v>
      </c>
      <c r="C103" s="119" t="s">
        <v>444</v>
      </c>
      <c r="D103" s="119" t="s">
        <v>443</v>
      </c>
      <c r="E103" s="121" t="s">
        <v>442</v>
      </c>
      <c r="F103" s="79"/>
    </row>
    <row r="104" spans="1:6" ht="28.8" x14ac:dyDescent="0.3">
      <c r="A104" s="120">
        <f t="shared" si="1"/>
        <v>102</v>
      </c>
      <c r="B104" s="117" t="s">
        <v>0</v>
      </c>
      <c r="C104" s="119" t="s">
        <v>441</v>
      </c>
      <c r="D104" s="119" t="s">
        <v>440</v>
      </c>
      <c r="E104" s="121" t="s">
        <v>439</v>
      </c>
      <c r="F104" s="79"/>
    </row>
    <row r="105" spans="1:6" ht="43.2" x14ac:dyDescent="0.3">
      <c r="A105" s="120">
        <f t="shared" si="1"/>
        <v>103</v>
      </c>
      <c r="B105" s="117" t="s">
        <v>0</v>
      </c>
      <c r="C105" s="119" t="s">
        <v>438</v>
      </c>
      <c r="D105" s="119" t="s">
        <v>437</v>
      </c>
      <c r="E105" s="121" t="s">
        <v>436</v>
      </c>
      <c r="F105" s="79"/>
    </row>
    <row r="106" spans="1:6" ht="43.2" x14ac:dyDescent="0.3">
      <c r="A106" s="120">
        <f t="shared" si="1"/>
        <v>104</v>
      </c>
      <c r="B106" s="117" t="s">
        <v>562</v>
      </c>
      <c r="C106" s="119" t="s">
        <v>61</v>
      </c>
      <c r="D106" s="119" t="s">
        <v>435</v>
      </c>
      <c r="E106" s="119" t="s">
        <v>434</v>
      </c>
      <c r="F106" s="79"/>
    </row>
    <row r="107" spans="1:6" ht="28.8" x14ac:dyDescent="0.3">
      <c r="A107" s="120">
        <f t="shared" si="1"/>
        <v>105</v>
      </c>
      <c r="B107" s="117" t="s">
        <v>562</v>
      </c>
      <c r="C107" s="119" t="s">
        <v>667</v>
      </c>
      <c r="D107" s="119" t="s">
        <v>433</v>
      </c>
      <c r="E107" s="119" t="s">
        <v>432</v>
      </c>
      <c r="F107" s="79"/>
    </row>
    <row r="108" spans="1:6" ht="43.2" x14ac:dyDescent="0.3">
      <c r="A108" s="120">
        <f t="shared" si="1"/>
        <v>106</v>
      </c>
      <c r="B108" s="117" t="s">
        <v>562</v>
      </c>
      <c r="C108" s="119" t="s">
        <v>668</v>
      </c>
      <c r="D108" s="119" t="s">
        <v>431</v>
      </c>
      <c r="E108" s="121" t="s">
        <v>430</v>
      </c>
      <c r="F108" s="79"/>
    </row>
    <row r="109" spans="1:6" ht="72" x14ac:dyDescent="0.3">
      <c r="A109" s="120">
        <f t="shared" si="1"/>
        <v>107</v>
      </c>
      <c r="B109" s="117" t="s">
        <v>562</v>
      </c>
      <c r="C109" s="119" t="s">
        <v>669</v>
      </c>
      <c r="D109" s="119" t="s">
        <v>429</v>
      </c>
      <c r="E109" s="119" t="s">
        <v>428</v>
      </c>
      <c r="F109" s="79"/>
    </row>
    <row r="110" spans="1:6" ht="57.6" x14ac:dyDescent="0.3">
      <c r="A110" s="120">
        <f t="shared" si="1"/>
        <v>108</v>
      </c>
      <c r="B110" s="117" t="s">
        <v>0</v>
      </c>
      <c r="C110" s="119" t="s">
        <v>670</v>
      </c>
      <c r="D110" s="119" t="s">
        <v>427</v>
      </c>
      <c r="E110" s="122" t="s">
        <v>556</v>
      </c>
      <c r="F110" s="79"/>
    </row>
    <row r="111" spans="1:6" ht="43.2" x14ac:dyDescent="0.3">
      <c r="A111" s="120">
        <f t="shared" si="1"/>
        <v>109</v>
      </c>
      <c r="B111" s="117" t="s">
        <v>562</v>
      </c>
      <c r="C111" s="119" t="s">
        <v>672</v>
      </c>
      <c r="D111" s="119" t="s">
        <v>426</v>
      </c>
      <c r="E111" s="119" t="s">
        <v>425</v>
      </c>
      <c r="F111" s="79"/>
    </row>
    <row r="112" spans="1:6" ht="100.8" x14ac:dyDescent="0.3">
      <c r="A112" s="120">
        <f t="shared" si="1"/>
        <v>110</v>
      </c>
      <c r="B112" s="117" t="s">
        <v>562</v>
      </c>
      <c r="C112" s="119" t="s">
        <v>671</v>
      </c>
      <c r="D112" s="119" t="s">
        <v>424</v>
      </c>
      <c r="E112" s="119" t="s">
        <v>423</v>
      </c>
      <c r="F112" s="79"/>
    </row>
    <row r="113" spans="1:6" ht="57.6" x14ac:dyDescent="0.3">
      <c r="A113" s="120">
        <f t="shared" si="1"/>
        <v>111</v>
      </c>
      <c r="B113" s="117" t="s">
        <v>562</v>
      </c>
      <c r="C113" s="119" t="s">
        <v>60</v>
      </c>
      <c r="D113" s="119" t="s">
        <v>422</v>
      </c>
      <c r="E113" s="119" t="s">
        <v>557</v>
      </c>
      <c r="F113" s="79"/>
    </row>
    <row r="114" spans="1:6" ht="57.6" x14ac:dyDescent="0.3">
      <c r="A114" s="120">
        <f t="shared" si="1"/>
        <v>112</v>
      </c>
      <c r="B114" s="117" t="s">
        <v>562</v>
      </c>
      <c r="C114" s="119" t="s">
        <v>673</v>
      </c>
      <c r="D114" s="119" t="s">
        <v>421</v>
      </c>
      <c r="E114" s="122" t="s">
        <v>558</v>
      </c>
      <c r="F114" s="79"/>
    </row>
    <row r="115" spans="1:6" ht="158.4" x14ac:dyDescent="0.3">
      <c r="A115" s="120">
        <f t="shared" si="1"/>
        <v>113</v>
      </c>
      <c r="B115" s="117" t="s">
        <v>562</v>
      </c>
      <c r="C115" s="119" t="s">
        <v>59</v>
      </c>
      <c r="D115" s="119" t="s">
        <v>420</v>
      </c>
      <c r="E115" s="122" t="s">
        <v>419</v>
      </c>
      <c r="F115" s="79"/>
    </row>
    <row r="116" spans="1:6" x14ac:dyDescent="0.3">
      <c r="A116" s="120">
        <f t="shared" si="1"/>
        <v>114</v>
      </c>
      <c r="B116" s="117" t="s">
        <v>562</v>
      </c>
      <c r="C116" s="119" t="s">
        <v>418</v>
      </c>
      <c r="D116" s="119" t="s">
        <v>417</v>
      </c>
      <c r="E116" s="122" t="s">
        <v>416</v>
      </c>
      <c r="F116" s="79"/>
    </row>
    <row r="117" spans="1:6" ht="43.2" x14ac:dyDescent="0.3">
      <c r="A117" s="120">
        <f t="shared" si="1"/>
        <v>115</v>
      </c>
      <c r="B117" s="117" t="s">
        <v>563</v>
      </c>
      <c r="C117" s="119" t="s">
        <v>674</v>
      </c>
      <c r="D117" s="119" t="s">
        <v>415</v>
      </c>
      <c r="E117" s="121" t="s">
        <v>414</v>
      </c>
      <c r="F117" s="79"/>
    </row>
    <row r="118" spans="1:6" ht="72" x14ac:dyDescent="0.3">
      <c r="A118" s="120">
        <f t="shared" si="1"/>
        <v>116</v>
      </c>
      <c r="B118" s="117" t="s">
        <v>563</v>
      </c>
      <c r="C118" s="119" t="s">
        <v>675</v>
      </c>
      <c r="D118" s="119" t="s">
        <v>413</v>
      </c>
      <c r="E118" s="119" t="s">
        <v>412</v>
      </c>
      <c r="F118" s="79"/>
    </row>
    <row r="119" spans="1:6" ht="43.2" x14ac:dyDescent="0.3">
      <c r="A119" s="120">
        <f t="shared" si="1"/>
        <v>117</v>
      </c>
      <c r="B119" s="117" t="s">
        <v>563</v>
      </c>
      <c r="C119" s="119" t="s">
        <v>676</v>
      </c>
      <c r="D119" s="119" t="s">
        <v>411</v>
      </c>
      <c r="E119" s="119" t="s">
        <v>407</v>
      </c>
      <c r="F119" s="79"/>
    </row>
    <row r="120" spans="1:6" ht="57.6" x14ac:dyDescent="0.3">
      <c r="A120" s="120">
        <f t="shared" si="1"/>
        <v>118</v>
      </c>
      <c r="B120" s="117" t="s">
        <v>563</v>
      </c>
      <c r="C120" s="119" t="s">
        <v>677</v>
      </c>
      <c r="D120" s="119" t="s">
        <v>410</v>
      </c>
      <c r="E120" s="121" t="s">
        <v>409</v>
      </c>
      <c r="F120" s="79"/>
    </row>
    <row r="121" spans="1:6" ht="43.2" x14ac:dyDescent="0.3">
      <c r="A121" s="120">
        <f t="shared" si="1"/>
        <v>119</v>
      </c>
      <c r="B121" s="117" t="s">
        <v>563</v>
      </c>
      <c r="C121" s="119" t="s">
        <v>678</v>
      </c>
      <c r="D121" s="119" t="s">
        <v>408</v>
      </c>
      <c r="E121" s="119" t="s">
        <v>407</v>
      </c>
      <c r="F121" s="79"/>
    </row>
    <row r="122" spans="1:6" ht="72" x14ac:dyDescent="0.3">
      <c r="A122" s="120">
        <f t="shared" si="1"/>
        <v>120</v>
      </c>
      <c r="B122" s="117" t="s">
        <v>563</v>
      </c>
      <c r="C122" s="119" t="s">
        <v>679</v>
      </c>
      <c r="D122" s="119" t="s">
        <v>406</v>
      </c>
      <c r="E122" s="121" t="s">
        <v>405</v>
      </c>
      <c r="F122" s="79"/>
    </row>
    <row r="123" spans="1:6" ht="72" x14ac:dyDescent="0.3">
      <c r="A123" s="120">
        <f t="shared" si="1"/>
        <v>121</v>
      </c>
      <c r="B123" s="117" t="s">
        <v>563</v>
      </c>
      <c r="C123" s="119" t="s">
        <v>680</v>
      </c>
      <c r="D123" s="119" t="s">
        <v>404</v>
      </c>
      <c r="E123" s="121" t="s">
        <v>403</v>
      </c>
      <c r="F123" s="79"/>
    </row>
    <row r="124" spans="1:6" ht="28.8" x14ac:dyDescent="0.3">
      <c r="A124" s="120">
        <f t="shared" si="1"/>
        <v>122</v>
      </c>
      <c r="B124" s="117" t="s">
        <v>0</v>
      </c>
      <c r="C124" s="119" t="s">
        <v>681</v>
      </c>
      <c r="D124" s="119" t="s">
        <v>401</v>
      </c>
      <c r="E124" s="119" t="s">
        <v>400</v>
      </c>
      <c r="F124" s="79"/>
    </row>
    <row r="125" spans="1:6" ht="43.2" x14ac:dyDescent="0.3">
      <c r="A125" s="120">
        <f t="shared" si="1"/>
        <v>123</v>
      </c>
      <c r="B125" s="117" t="s">
        <v>0</v>
      </c>
      <c r="C125" s="119" t="s">
        <v>682</v>
      </c>
      <c r="D125" s="119" t="s">
        <v>399</v>
      </c>
      <c r="E125" s="119" t="s">
        <v>398</v>
      </c>
      <c r="F125" s="79"/>
    </row>
    <row r="126" spans="1:6" ht="57.6" x14ac:dyDescent="0.3">
      <c r="A126" s="120">
        <f t="shared" si="1"/>
        <v>124</v>
      </c>
      <c r="B126" s="117" t="s">
        <v>0</v>
      </c>
      <c r="C126" s="119" t="s">
        <v>683</v>
      </c>
      <c r="D126" s="119" t="s">
        <v>397</v>
      </c>
      <c r="E126" s="119" t="s">
        <v>396</v>
      </c>
      <c r="F126" s="79"/>
    </row>
    <row r="127" spans="1:6" ht="43.2" x14ac:dyDescent="0.3">
      <c r="A127" s="120">
        <f t="shared" si="1"/>
        <v>125</v>
      </c>
      <c r="B127" s="117" t="s">
        <v>0</v>
      </c>
      <c r="C127" s="119" t="s">
        <v>684</v>
      </c>
      <c r="D127" s="119" t="s">
        <v>395</v>
      </c>
      <c r="E127" s="119" t="s">
        <v>559</v>
      </c>
      <c r="F127" s="79"/>
    </row>
    <row r="128" spans="1:6" ht="57.6" x14ac:dyDescent="0.3">
      <c r="A128" s="120">
        <f t="shared" si="1"/>
        <v>126</v>
      </c>
      <c r="B128" s="117" t="s">
        <v>0</v>
      </c>
      <c r="C128" s="119" t="s">
        <v>685</v>
      </c>
      <c r="D128" s="119" t="s">
        <v>394</v>
      </c>
      <c r="E128" s="121" t="s">
        <v>393</v>
      </c>
      <c r="F128" s="79"/>
    </row>
    <row r="129" spans="1:6" ht="72" x14ac:dyDescent="0.3">
      <c r="A129" s="120">
        <f t="shared" si="1"/>
        <v>127</v>
      </c>
      <c r="B129" s="117" t="s">
        <v>0</v>
      </c>
      <c r="C129" s="119" t="s">
        <v>686</v>
      </c>
      <c r="D129" s="119" t="s">
        <v>392</v>
      </c>
      <c r="E129" s="121" t="s">
        <v>391</v>
      </c>
      <c r="F129" s="79"/>
    </row>
    <row r="130" spans="1:6" ht="28.8" x14ac:dyDescent="0.3">
      <c r="A130" s="120">
        <f t="shared" si="1"/>
        <v>128</v>
      </c>
      <c r="B130" s="117" t="s">
        <v>562</v>
      </c>
      <c r="C130" s="119" t="s">
        <v>687</v>
      </c>
      <c r="D130" s="119" t="s">
        <v>390</v>
      </c>
      <c r="E130" s="119" t="s">
        <v>389</v>
      </c>
      <c r="F130" s="79"/>
    </row>
    <row r="131" spans="1:6" ht="72" x14ac:dyDescent="0.3">
      <c r="A131" s="120">
        <f t="shared" si="1"/>
        <v>129</v>
      </c>
      <c r="B131" s="117" t="s">
        <v>562</v>
      </c>
      <c r="C131" s="119" t="s">
        <v>688</v>
      </c>
      <c r="D131" s="119" t="s">
        <v>388</v>
      </c>
      <c r="E131" s="121" t="s">
        <v>387</v>
      </c>
      <c r="F131" s="79"/>
    </row>
    <row r="132" spans="1:6" ht="28.8" x14ac:dyDescent="0.3">
      <c r="A132" s="120">
        <f t="shared" si="1"/>
        <v>130</v>
      </c>
      <c r="B132" s="117" t="s">
        <v>562</v>
      </c>
      <c r="C132" s="119" t="s">
        <v>689</v>
      </c>
      <c r="D132" s="119" t="s">
        <v>386</v>
      </c>
      <c r="E132" s="121" t="s">
        <v>385</v>
      </c>
      <c r="F132" s="79"/>
    </row>
    <row r="133" spans="1:6" ht="43.2" x14ac:dyDescent="0.3">
      <c r="A133" s="120">
        <f t="shared" ref="A133:A172" si="2">A132+1</f>
        <v>131</v>
      </c>
      <c r="B133" s="117" t="s">
        <v>562</v>
      </c>
      <c r="C133" s="119" t="s">
        <v>690</v>
      </c>
      <c r="D133" s="119" t="s">
        <v>384</v>
      </c>
      <c r="E133" s="121" t="s">
        <v>383</v>
      </c>
      <c r="F133" s="79"/>
    </row>
    <row r="134" spans="1:6" ht="57.6" x14ac:dyDescent="0.3">
      <c r="A134" s="120">
        <f t="shared" si="2"/>
        <v>132</v>
      </c>
      <c r="B134" s="117" t="s">
        <v>562</v>
      </c>
      <c r="C134" s="119" t="s">
        <v>691</v>
      </c>
      <c r="D134" s="119" t="s">
        <v>382</v>
      </c>
      <c r="E134" s="119" t="s">
        <v>381</v>
      </c>
      <c r="F134" s="79"/>
    </row>
    <row r="135" spans="1:6" ht="28.8" x14ac:dyDescent="0.3">
      <c r="A135" s="120">
        <f t="shared" si="2"/>
        <v>133</v>
      </c>
      <c r="B135" s="117" t="s">
        <v>89</v>
      </c>
      <c r="C135" s="119" t="s">
        <v>692</v>
      </c>
      <c r="D135" s="119" t="s">
        <v>380</v>
      </c>
      <c r="E135" s="119" t="s">
        <v>378</v>
      </c>
      <c r="F135" s="79"/>
    </row>
    <row r="136" spans="1:6" ht="28.8" x14ac:dyDescent="0.3">
      <c r="A136" s="120">
        <f t="shared" si="2"/>
        <v>134</v>
      </c>
      <c r="B136" s="117" t="s">
        <v>89</v>
      </c>
      <c r="C136" s="119" t="s">
        <v>693</v>
      </c>
      <c r="D136" s="118" t="s">
        <v>379</v>
      </c>
      <c r="E136" s="119" t="s">
        <v>378</v>
      </c>
      <c r="F136" s="79"/>
    </row>
    <row r="137" spans="1:6" ht="28.8" x14ac:dyDescent="0.3">
      <c r="A137" s="120">
        <f t="shared" si="2"/>
        <v>135</v>
      </c>
      <c r="B137" s="117" t="s">
        <v>89</v>
      </c>
      <c r="C137" s="119" t="s">
        <v>694</v>
      </c>
      <c r="D137" s="119" t="s">
        <v>377</v>
      </c>
      <c r="E137" s="119" t="s">
        <v>376</v>
      </c>
      <c r="F137" s="79"/>
    </row>
    <row r="138" spans="1:6" ht="43.2" x14ac:dyDescent="0.3">
      <c r="A138" s="120">
        <f t="shared" si="2"/>
        <v>136</v>
      </c>
      <c r="B138" s="117" t="s">
        <v>89</v>
      </c>
      <c r="C138" s="119" t="s">
        <v>695</v>
      </c>
      <c r="D138" s="119" t="s">
        <v>375</v>
      </c>
      <c r="E138" s="121" t="s">
        <v>374</v>
      </c>
      <c r="F138" s="79"/>
    </row>
    <row r="139" spans="1:6" ht="28.8" x14ac:dyDescent="0.3">
      <c r="A139" s="120">
        <f t="shared" si="2"/>
        <v>137</v>
      </c>
      <c r="B139" s="117" t="s">
        <v>371</v>
      </c>
      <c r="C139" s="119" t="s">
        <v>696</v>
      </c>
      <c r="D139" s="119" t="s">
        <v>373</v>
      </c>
      <c r="E139" s="119" t="s">
        <v>372</v>
      </c>
      <c r="F139" s="79"/>
    </row>
    <row r="140" spans="1:6" x14ac:dyDescent="0.3">
      <c r="A140" s="120">
        <f t="shared" si="2"/>
        <v>138</v>
      </c>
      <c r="B140" s="117" t="s">
        <v>371</v>
      </c>
      <c r="C140" s="119" t="s">
        <v>697</v>
      </c>
      <c r="D140" s="119" t="s">
        <v>370</v>
      </c>
      <c r="E140" s="119" t="s">
        <v>369</v>
      </c>
      <c r="F140" s="79"/>
    </row>
    <row r="141" spans="1:6" ht="43.2" x14ac:dyDescent="0.3">
      <c r="A141" s="120">
        <f t="shared" si="2"/>
        <v>139</v>
      </c>
      <c r="B141" s="117" t="s">
        <v>371</v>
      </c>
      <c r="C141" s="119" t="s">
        <v>698</v>
      </c>
      <c r="D141" s="118" t="s">
        <v>368</v>
      </c>
      <c r="E141" s="119" t="s">
        <v>367</v>
      </c>
      <c r="F141" s="79"/>
    </row>
    <row r="142" spans="1:6" ht="28.8" x14ac:dyDescent="0.3">
      <c r="A142" s="120">
        <f t="shared" si="2"/>
        <v>140</v>
      </c>
      <c r="B142" s="117" t="s">
        <v>562</v>
      </c>
      <c r="C142" s="119" t="s">
        <v>699</v>
      </c>
      <c r="D142" s="118" t="s">
        <v>366</v>
      </c>
      <c r="E142" s="123" t="s">
        <v>365</v>
      </c>
      <c r="F142" s="79"/>
    </row>
    <row r="143" spans="1:6" ht="28.8" x14ac:dyDescent="0.3">
      <c r="A143" s="120">
        <f t="shared" si="2"/>
        <v>141</v>
      </c>
      <c r="B143" s="117" t="s">
        <v>0</v>
      </c>
      <c r="C143" s="119" t="s">
        <v>700</v>
      </c>
      <c r="D143" s="124" t="s">
        <v>364</v>
      </c>
      <c r="E143" s="125" t="s">
        <v>363</v>
      </c>
      <c r="F143" s="79"/>
    </row>
    <row r="144" spans="1:6" ht="43.2" x14ac:dyDescent="0.3">
      <c r="A144" s="120">
        <f t="shared" si="2"/>
        <v>142</v>
      </c>
      <c r="B144" s="117" t="s">
        <v>562</v>
      </c>
      <c r="C144" s="118" t="s">
        <v>362</v>
      </c>
      <c r="D144" s="126" t="s">
        <v>361</v>
      </c>
      <c r="E144" s="119" t="s">
        <v>360</v>
      </c>
      <c r="F144" s="79"/>
    </row>
    <row r="145" spans="1:6" ht="43.2" x14ac:dyDescent="0.3">
      <c r="A145" s="120">
        <f t="shared" si="2"/>
        <v>143</v>
      </c>
      <c r="B145" s="117" t="s">
        <v>562</v>
      </c>
      <c r="C145" s="118" t="s">
        <v>701</v>
      </c>
      <c r="D145" s="126" t="s">
        <v>359</v>
      </c>
      <c r="E145" s="127" t="s">
        <v>479</v>
      </c>
      <c r="F145" s="79"/>
    </row>
    <row r="146" spans="1:6" ht="43.2" x14ac:dyDescent="0.3">
      <c r="A146" s="120">
        <f t="shared" si="2"/>
        <v>144</v>
      </c>
      <c r="B146" s="117" t="s">
        <v>0</v>
      </c>
      <c r="C146" s="118" t="s">
        <v>702</v>
      </c>
      <c r="D146" s="133" t="s">
        <v>489</v>
      </c>
      <c r="E146" s="133" t="s">
        <v>491</v>
      </c>
      <c r="F146" s="118" t="s">
        <v>490</v>
      </c>
    </row>
    <row r="147" spans="1:6" ht="43.2" x14ac:dyDescent="0.3">
      <c r="A147" s="120">
        <f t="shared" si="2"/>
        <v>145</v>
      </c>
      <c r="B147" s="117" t="s">
        <v>0</v>
      </c>
      <c r="C147" s="118" t="s">
        <v>402</v>
      </c>
      <c r="D147" s="133" t="s">
        <v>492</v>
      </c>
      <c r="E147" s="133" t="s">
        <v>493</v>
      </c>
      <c r="F147" s="119" t="s">
        <v>494</v>
      </c>
    </row>
    <row r="148" spans="1:6" ht="72" x14ac:dyDescent="0.3">
      <c r="A148" s="120">
        <f t="shared" si="2"/>
        <v>146</v>
      </c>
      <c r="B148" s="117" t="s">
        <v>0</v>
      </c>
      <c r="C148" s="118" t="s">
        <v>703</v>
      </c>
      <c r="D148" s="133" t="s">
        <v>495</v>
      </c>
      <c r="E148" s="133" t="s">
        <v>545</v>
      </c>
      <c r="F148" s="119"/>
    </row>
    <row r="149" spans="1:6" ht="43.2" x14ac:dyDescent="0.3">
      <c r="A149" s="120">
        <f t="shared" si="2"/>
        <v>147</v>
      </c>
      <c r="B149" s="117" t="s">
        <v>0</v>
      </c>
      <c r="C149" s="118" t="s">
        <v>704</v>
      </c>
      <c r="D149" s="133" t="s">
        <v>496</v>
      </c>
      <c r="E149" s="133" t="s">
        <v>497</v>
      </c>
      <c r="F149" s="119" t="s">
        <v>490</v>
      </c>
    </row>
    <row r="150" spans="1:6" ht="43.2" x14ac:dyDescent="0.3">
      <c r="A150" s="120">
        <f t="shared" si="2"/>
        <v>148</v>
      </c>
      <c r="B150" s="117" t="s">
        <v>0</v>
      </c>
      <c r="C150" s="118" t="s">
        <v>705</v>
      </c>
      <c r="D150" s="133" t="s">
        <v>499</v>
      </c>
      <c r="E150" s="133" t="s">
        <v>498</v>
      </c>
      <c r="F150" s="119"/>
    </row>
    <row r="151" spans="1:6" ht="72" x14ac:dyDescent="0.3">
      <c r="A151" s="120">
        <f t="shared" si="2"/>
        <v>149</v>
      </c>
      <c r="B151" s="117" t="s">
        <v>0</v>
      </c>
      <c r="C151" s="118" t="s">
        <v>706</v>
      </c>
      <c r="D151" s="120" t="s">
        <v>501</v>
      </c>
      <c r="E151" s="133" t="s">
        <v>500</v>
      </c>
      <c r="F151" s="119"/>
    </row>
    <row r="152" spans="1:6" ht="144" x14ac:dyDescent="0.3">
      <c r="A152" s="120">
        <f t="shared" si="2"/>
        <v>150</v>
      </c>
      <c r="B152" s="117" t="s">
        <v>562</v>
      </c>
      <c r="C152" s="118" t="s">
        <v>707</v>
      </c>
      <c r="D152" s="133" t="s">
        <v>502</v>
      </c>
      <c r="E152" s="133" t="s">
        <v>503</v>
      </c>
      <c r="F152" s="119"/>
    </row>
    <row r="153" spans="1:6" ht="28.8" x14ac:dyDescent="0.3">
      <c r="A153" s="120">
        <f t="shared" si="2"/>
        <v>151</v>
      </c>
      <c r="B153" s="117" t="s">
        <v>562</v>
      </c>
      <c r="C153" s="118" t="s">
        <v>546</v>
      </c>
      <c r="D153" s="133" t="s">
        <v>504</v>
      </c>
      <c r="E153" s="133" t="s">
        <v>505</v>
      </c>
      <c r="F153" s="119"/>
    </row>
    <row r="154" spans="1:6" ht="43.2" x14ac:dyDescent="0.3">
      <c r="A154" s="120">
        <f t="shared" si="2"/>
        <v>152</v>
      </c>
      <c r="B154" s="117" t="s">
        <v>18</v>
      </c>
      <c r="C154" s="118" t="s">
        <v>708</v>
      </c>
      <c r="D154" s="133" t="s">
        <v>506</v>
      </c>
      <c r="E154" s="133" t="s">
        <v>507</v>
      </c>
      <c r="F154" s="119"/>
    </row>
    <row r="155" spans="1:6" ht="28.8" x14ac:dyDescent="0.3">
      <c r="A155" s="120">
        <f t="shared" si="2"/>
        <v>153</v>
      </c>
      <c r="B155" s="117" t="s">
        <v>18</v>
      </c>
      <c r="C155" s="118" t="s">
        <v>709</v>
      </c>
      <c r="D155" s="133" t="s">
        <v>508</v>
      </c>
      <c r="E155" s="133" t="s">
        <v>509</v>
      </c>
      <c r="F155" s="119"/>
    </row>
    <row r="156" spans="1:6" ht="28.8" x14ac:dyDescent="0.3">
      <c r="A156" s="120">
        <f t="shared" si="2"/>
        <v>154</v>
      </c>
      <c r="B156" s="117" t="s">
        <v>18</v>
      </c>
      <c r="C156" s="118" t="s">
        <v>710</v>
      </c>
      <c r="D156" s="133" t="s">
        <v>510</v>
      </c>
      <c r="E156" s="133" t="s">
        <v>511</v>
      </c>
      <c r="F156" s="119"/>
    </row>
    <row r="157" spans="1:6" ht="43.2" x14ac:dyDescent="0.3">
      <c r="A157" s="120">
        <f t="shared" si="2"/>
        <v>155</v>
      </c>
      <c r="B157" s="117" t="s">
        <v>18</v>
      </c>
      <c r="C157" s="118" t="s">
        <v>711</v>
      </c>
      <c r="D157" s="120" t="s">
        <v>512</v>
      </c>
      <c r="E157" s="133" t="s">
        <v>513</v>
      </c>
      <c r="F157" s="119"/>
    </row>
    <row r="158" spans="1:6" ht="57.6" x14ac:dyDescent="0.3">
      <c r="A158" s="120">
        <f t="shared" si="2"/>
        <v>156</v>
      </c>
      <c r="B158" s="117" t="s">
        <v>18</v>
      </c>
      <c r="C158" s="118" t="s">
        <v>712</v>
      </c>
      <c r="D158" s="133" t="s">
        <v>514</v>
      </c>
      <c r="E158" s="133" t="s">
        <v>515</v>
      </c>
      <c r="F158" s="119"/>
    </row>
    <row r="159" spans="1:6" ht="43.2" x14ac:dyDescent="0.3">
      <c r="A159" s="120">
        <f t="shared" si="2"/>
        <v>157</v>
      </c>
      <c r="B159" s="117" t="s">
        <v>18</v>
      </c>
      <c r="C159" s="118" t="s">
        <v>713</v>
      </c>
      <c r="D159" s="133" t="s">
        <v>516</v>
      </c>
      <c r="E159" s="133" t="s">
        <v>517</v>
      </c>
      <c r="F159" s="119"/>
    </row>
    <row r="160" spans="1:6" ht="28.8" x14ac:dyDescent="0.3">
      <c r="A160" s="120">
        <f t="shared" si="2"/>
        <v>158</v>
      </c>
      <c r="B160" s="117" t="s">
        <v>18</v>
      </c>
      <c r="C160" s="118" t="s">
        <v>715</v>
      </c>
      <c r="D160" s="120" t="s">
        <v>714</v>
      </c>
      <c r="E160" s="133" t="s">
        <v>518</v>
      </c>
      <c r="F160" s="119"/>
    </row>
    <row r="161" spans="1:6" ht="86.4" x14ac:dyDescent="0.3">
      <c r="A161" s="120">
        <f t="shared" si="2"/>
        <v>159</v>
      </c>
      <c r="B161" s="117" t="s">
        <v>18</v>
      </c>
      <c r="C161" s="118" t="s">
        <v>18</v>
      </c>
      <c r="D161" s="133" t="s">
        <v>519</v>
      </c>
      <c r="E161" s="133" t="s">
        <v>520</v>
      </c>
      <c r="F161" s="119"/>
    </row>
    <row r="162" spans="1:6" ht="28.8" x14ac:dyDescent="0.3">
      <c r="A162" s="120">
        <f t="shared" si="2"/>
        <v>160</v>
      </c>
      <c r="B162" s="117" t="s">
        <v>563</v>
      </c>
      <c r="C162" s="118" t="s">
        <v>716</v>
      </c>
      <c r="D162" s="119" t="s">
        <v>521</v>
      </c>
      <c r="E162" s="133" t="s">
        <v>522</v>
      </c>
      <c r="F162" s="119"/>
    </row>
    <row r="163" spans="1:6" ht="57.6" x14ac:dyDescent="0.3">
      <c r="A163" s="120">
        <f t="shared" si="2"/>
        <v>161</v>
      </c>
      <c r="B163" s="117" t="s">
        <v>562</v>
      </c>
      <c r="C163" s="118" t="s">
        <v>362</v>
      </c>
      <c r="D163" s="120" t="s">
        <v>523</v>
      </c>
      <c r="E163" s="133" t="s">
        <v>524</v>
      </c>
      <c r="F163" s="119"/>
    </row>
    <row r="164" spans="1:6" ht="28.8" x14ac:dyDescent="0.3">
      <c r="A164" s="120">
        <f t="shared" si="2"/>
        <v>162</v>
      </c>
      <c r="B164" s="117" t="s">
        <v>562</v>
      </c>
      <c r="C164" s="118" t="s">
        <v>362</v>
      </c>
      <c r="D164" s="133" t="s">
        <v>525</v>
      </c>
      <c r="E164" s="133" t="s">
        <v>526</v>
      </c>
      <c r="F164" s="119"/>
    </row>
    <row r="165" spans="1:6" ht="43.2" x14ac:dyDescent="0.3">
      <c r="A165" s="120">
        <f t="shared" si="2"/>
        <v>163</v>
      </c>
      <c r="B165" s="117" t="s">
        <v>562</v>
      </c>
      <c r="C165" s="118" t="s">
        <v>362</v>
      </c>
      <c r="D165" s="133" t="s">
        <v>527</v>
      </c>
      <c r="E165" s="133" t="s">
        <v>528</v>
      </c>
      <c r="F165" s="119"/>
    </row>
    <row r="166" spans="1:6" x14ac:dyDescent="0.3">
      <c r="A166" s="120">
        <f t="shared" si="2"/>
        <v>164</v>
      </c>
      <c r="B166" s="117" t="s">
        <v>562</v>
      </c>
      <c r="C166" s="118" t="s">
        <v>362</v>
      </c>
      <c r="D166" s="120" t="s">
        <v>529</v>
      </c>
      <c r="E166" s="120" t="s">
        <v>530</v>
      </c>
      <c r="F166" s="119"/>
    </row>
    <row r="167" spans="1:6" ht="72" x14ac:dyDescent="0.3">
      <c r="A167" s="120">
        <f t="shared" si="2"/>
        <v>165</v>
      </c>
      <c r="B167" s="117" t="s">
        <v>562</v>
      </c>
      <c r="C167" s="118" t="s">
        <v>362</v>
      </c>
      <c r="D167" s="120" t="s">
        <v>531</v>
      </c>
      <c r="E167" s="133" t="s">
        <v>532</v>
      </c>
      <c r="F167" s="119"/>
    </row>
    <row r="168" spans="1:6" ht="43.2" x14ac:dyDescent="0.3">
      <c r="A168" s="120">
        <f t="shared" si="2"/>
        <v>166</v>
      </c>
      <c r="B168" s="117" t="s">
        <v>562</v>
      </c>
      <c r="C168" s="118" t="s">
        <v>362</v>
      </c>
      <c r="D168" s="133" t="s">
        <v>533</v>
      </c>
      <c r="E168" s="133" t="s">
        <v>534</v>
      </c>
      <c r="F168" s="119"/>
    </row>
    <row r="169" spans="1:6" ht="28.8" x14ac:dyDescent="0.3">
      <c r="A169" s="120">
        <f t="shared" si="2"/>
        <v>167</v>
      </c>
      <c r="B169" s="117" t="s">
        <v>562</v>
      </c>
      <c r="C169" s="118" t="s">
        <v>362</v>
      </c>
      <c r="D169" s="133" t="s">
        <v>535</v>
      </c>
      <c r="E169" s="133" t="s">
        <v>536</v>
      </c>
      <c r="F169" s="119"/>
    </row>
    <row r="170" spans="1:6" ht="28.8" x14ac:dyDescent="0.3">
      <c r="A170" s="120">
        <f t="shared" si="2"/>
        <v>168</v>
      </c>
      <c r="B170" s="117" t="s">
        <v>564</v>
      </c>
      <c r="C170" s="118" t="s">
        <v>547</v>
      </c>
      <c r="D170" s="133" t="s">
        <v>537</v>
      </c>
      <c r="E170" s="133" t="s">
        <v>538</v>
      </c>
      <c r="F170" s="119"/>
    </row>
    <row r="171" spans="1:6" ht="43.2" x14ac:dyDescent="0.3">
      <c r="A171" s="120">
        <f t="shared" si="2"/>
        <v>169</v>
      </c>
      <c r="B171" s="117" t="s">
        <v>564</v>
      </c>
      <c r="C171" s="118" t="s">
        <v>547</v>
      </c>
      <c r="D171" s="120" t="s">
        <v>539</v>
      </c>
      <c r="E171" s="119" t="s">
        <v>540</v>
      </c>
      <c r="F171" s="119"/>
    </row>
    <row r="172" spans="1:6" ht="28.8" x14ac:dyDescent="0.3">
      <c r="A172" s="120">
        <f t="shared" si="2"/>
        <v>170</v>
      </c>
      <c r="B172" s="117" t="s">
        <v>564</v>
      </c>
      <c r="C172" s="118" t="s">
        <v>547</v>
      </c>
      <c r="D172" s="133" t="s">
        <v>541</v>
      </c>
      <c r="E172" s="119" t="s">
        <v>542</v>
      </c>
      <c r="F172" s="119"/>
    </row>
    <row r="173" spans="1:6" x14ac:dyDescent="0.3">
      <c r="A173" s="183">
        <f>A172+1</f>
        <v>171</v>
      </c>
      <c r="B173" s="186" t="s">
        <v>562</v>
      </c>
      <c r="C173" s="182" t="s">
        <v>488</v>
      </c>
      <c r="D173" s="179" t="s">
        <v>480</v>
      </c>
      <c r="E173" s="128" t="s">
        <v>481</v>
      </c>
      <c r="F173" s="120"/>
    </row>
    <row r="174" spans="1:6" x14ac:dyDescent="0.3">
      <c r="A174" s="184"/>
      <c r="B174" s="186" t="s">
        <v>562</v>
      </c>
      <c r="C174" s="182"/>
      <c r="D174" s="180"/>
      <c r="E174" s="129"/>
      <c r="F174" s="120"/>
    </row>
    <row r="175" spans="1:6" ht="28.8" x14ac:dyDescent="0.3">
      <c r="A175" s="184"/>
      <c r="B175" s="186" t="s">
        <v>562</v>
      </c>
      <c r="C175" s="182"/>
      <c r="D175" s="180"/>
      <c r="E175" s="130" t="s">
        <v>551</v>
      </c>
      <c r="F175" s="130" t="s">
        <v>482</v>
      </c>
    </row>
    <row r="176" spans="1:6" x14ac:dyDescent="0.3">
      <c r="A176" s="184"/>
      <c r="B176" s="186" t="s">
        <v>562</v>
      </c>
      <c r="C176" s="182"/>
      <c r="D176" s="180"/>
      <c r="E176" s="130" t="s">
        <v>552</v>
      </c>
      <c r="F176" s="130" t="s">
        <v>482</v>
      </c>
    </row>
    <row r="177" spans="1:6" ht="28.8" x14ac:dyDescent="0.3">
      <c r="A177" s="184"/>
      <c r="B177" s="186" t="s">
        <v>562</v>
      </c>
      <c r="C177" s="182"/>
      <c r="D177" s="180"/>
      <c r="E177" s="130" t="s">
        <v>553</v>
      </c>
      <c r="F177" s="130" t="s">
        <v>483</v>
      </c>
    </row>
    <row r="178" spans="1:6" ht="72" x14ac:dyDescent="0.3">
      <c r="A178" s="184"/>
      <c r="B178" s="186" t="s">
        <v>562</v>
      </c>
      <c r="C178" s="182"/>
      <c r="D178" s="180"/>
      <c r="E178" s="130" t="s">
        <v>560</v>
      </c>
      <c r="F178" s="130" t="s">
        <v>483</v>
      </c>
    </row>
    <row r="179" spans="1:6" x14ac:dyDescent="0.3">
      <c r="A179" s="184"/>
      <c r="B179" s="186" t="s">
        <v>562</v>
      </c>
      <c r="C179" s="182"/>
      <c r="D179" s="180"/>
      <c r="E179" s="130" t="s">
        <v>554</v>
      </c>
      <c r="F179" s="130" t="s">
        <v>484</v>
      </c>
    </row>
    <row r="180" spans="1:6" x14ac:dyDescent="0.3">
      <c r="A180" s="184"/>
      <c r="B180" s="186" t="s">
        <v>562</v>
      </c>
      <c r="C180" s="182"/>
      <c r="D180" s="180"/>
      <c r="E180" s="120"/>
      <c r="F180" s="120"/>
    </row>
    <row r="181" spans="1:6" x14ac:dyDescent="0.3">
      <c r="A181" s="184"/>
      <c r="B181" s="186" t="s">
        <v>562</v>
      </c>
      <c r="C181" s="182"/>
      <c r="D181" s="180"/>
      <c r="E181" s="120"/>
      <c r="F181" s="120"/>
    </row>
    <row r="182" spans="1:6" x14ac:dyDescent="0.3">
      <c r="A182" s="184"/>
      <c r="B182" s="186" t="s">
        <v>562</v>
      </c>
      <c r="C182" s="182"/>
      <c r="D182" s="180"/>
      <c r="E182" s="131" t="s">
        <v>561</v>
      </c>
      <c r="F182" s="120"/>
    </row>
    <row r="183" spans="1:6" x14ac:dyDescent="0.3">
      <c r="A183" s="184"/>
      <c r="B183" s="186" t="s">
        <v>562</v>
      </c>
      <c r="C183" s="182"/>
      <c r="D183" s="180"/>
      <c r="E183" s="120"/>
      <c r="F183" s="120"/>
    </row>
    <row r="184" spans="1:6" x14ac:dyDescent="0.3">
      <c r="A184" s="184"/>
      <c r="B184" s="186" t="s">
        <v>562</v>
      </c>
      <c r="C184" s="182"/>
      <c r="D184" s="180"/>
      <c r="E184" s="132" t="s">
        <v>485</v>
      </c>
      <c r="F184" s="120"/>
    </row>
    <row r="185" spans="1:6" x14ac:dyDescent="0.3">
      <c r="A185" s="184"/>
      <c r="B185" s="186" t="s">
        <v>562</v>
      </c>
      <c r="C185" s="182"/>
      <c r="D185" s="180"/>
      <c r="E185" s="132" t="s">
        <v>486</v>
      </c>
      <c r="F185" s="120"/>
    </row>
    <row r="186" spans="1:6" x14ac:dyDescent="0.3">
      <c r="A186" s="185"/>
      <c r="B186" s="186" t="s">
        <v>562</v>
      </c>
      <c r="C186" s="182"/>
      <c r="D186" s="181"/>
      <c r="E186" s="132" t="s">
        <v>487</v>
      </c>
      <c r="F186" s="120"/>
    </row>
  </sheetData>
  <mergeCells count="4">
    <mergeCell ref="D173:D186"/>
    <mergeCell ref="C173:C186"/>
    <mergeCell ref="A173:A186"/>
    <mergeCell ref="B173:B186"/>
  </mergeCells>
  <hyperlinks>
    <hyperlink ref="E1" location="'Main Options'!A1" display="BACK"/>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Client Menu Grid</vt:lpstr>
      <vt:lpstr>Main Options</vt:lpstr>
      <vt:lpstr>Sub-Options</vt:lpstr>
      <vt:lpstr>My Salary </vt:lpstr>
      <vt:lpstr>My PF</vt:lpstr>
      <vt:lpstr>My Tax &amp; claim Status</vt:lpstr>
      <vt:lpstr>Personal Data</vt:lpstr>
      <vt:lpstr>My Leave, Attendance</vt:lpstr>
      <vt:lpstr>FAQ</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 Muthu</dc:creator>
  <cp:lastModifiedBy>Rajesh Kumar Ranjan</cp:lastModifiedBy>
  <dcterms:created xsi:type="dcterms:W3CDTF">2019-02-28T05:17:28Z</dcterms:created>
  <dcterms:modified xsi:type="dcterms:W3CDTF">2024-03-13T13:20:29Z</dcterms:modified>
</cp:coreProperties>
</file>